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ranyinon/Documents/Noam/RESEARCH/Test Results/"/>
    </mc:Choice>
  </mc:AlternateContent>
  <xr:revisionPtr revIDLastSave="0" documentId="13_ncr:1_{8ED6DE9E-C050-9F47-880D-7C585865C1A5}" xr6:coauthVersionLast="45" xr6:coauthVersionMax="45" xr10:uidLastSave="{00000000-0000-0000-0000-000000000000}"/>
  <bookViews>
    <workbookView xWindow="13700" yWindow="460" windowWidth="20960" windowHeight="1658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2" i="1" l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J65" i="1" l="1"/>
  <c r="K65" i="1" s="1"/>
  <c r="I60" i="1"/>
  <c r="H60" i="1"/>
  <c r="J60" i="1" s="1"/>
  <c r="K60" i="1" s="1"/>
  <c r="H65" i="1"/>
  <c r="I65" i="1" s="1"/>
  <c r="H66" i="1"/>
  <c r="I66" i="1" s="1"/>
  <c r="H67" i="1"/>
  <c r="J67" i="1" s="1"/>
  <c r="K67" i="1" s="1"/>
  <c r="H69" i="1"/>
  <c r="J69" i="1" s="1"/>
  <c r="K69" i="1" s="1"/>
  <c r="H72" i="1"/>
  <c r="I72" i="1" s="1"/>
  <c r="H75" i="1"/>
  <c r="I75" i="1" s="1"/>
  <c r="H76" i="1"/>
  <c r="J76" i="1" s="1"/>
  <c r="K76" i="1" s="1"/>
  <c r="H78" i="1"/>
  <c r="I78" i="1" s="1"/>
  <c r="H80" i="1"/>
  <c r="I80" i="1" s="1"/>
  <c r="H81" i="1"/>
  <c r="J81" i="1" s="1"/>
  <c r="K81" i="1" s="1"/>
  <c r="H84" i="1"/>
  <c r="I84" i="1" s="1"/>
  <c r="H87" i="1"/>
  <c r="I87" i="1" s="1"/>
  <c r="H89" i="1"/>
  <c r="J89" i="1" s="1"/>
  <c r="K89" i="1" s="1"/>
  <c r="H90" i="1"/>
  <c r="I90" i="1" s="1"/>
  <c r="H93" i="1"/>
  <c r="J93" i="1" s="1"/>
  <c r="K93" i="1" s="1"/>
  <c r="H94" i="1"/>
  <c r="J94" i="1" s="1"/>
  <c r="K94" i="1" s="1"/>
  <c r="H96" i="1"/>
  <c r="I96" i="1" s="1"/>
  <c r="G56" i="1"/>
  <c r="H56" i="1" s="1"/>
  <c r="G57" i="1"/>
  <c r="H57" i="1" s="1"/>
  <c r="G58" i="1"/>
  <c r="H58" i="1" s="1"/>
  <c r="G59" i="1"/>
  <c r="H59" i="1" s="1"/>
  <c r="G60" i="1"/>
  <c r="G61" i="1"/>
  <c r="H61" i="1" s="1"/>
  <c r="G62" i="1"/>
  <c r="H62" i="1" s="1"/>
  <c r="G63" i="1"/>
  <c r="H63" i="1" s="1"/>
  <c r="G64" i="1"/>
  <c r="H64" i="1" s="1"/>
  <c r="G65" i="1"/>
  <c r="G66" i="1"/>
  <c r="G67" i="1"/>
  <c r="G68" i="1"/>
  <c r="H68" i="1" s="1"/>
  <c r="G69" i="1"/>
  <c r="G70" i="1"/>
  <c r="H70" i="1" s="1"/>
  <c r="G71" i="1"/>
  <c r="H71" i="1" s="1"/>
  <c r="G72" i="1"/>
  <c r="G73" i="1"/>
  <c r="H73" i="1" s="1"/>
  <c r="G74" i="1"/>
  <c r="H74" i="1" s="1"/>
  <c r="G75" i="1"/>
  <c r="G76" i="1"/>
  <c r="G77" i="1"/>
  <c r="H77" i="1" s="1"/>
  <c r="G78" i="1"/>
  <c r="G79" i="1"/>
  <c r="H79" i="1" s="1"/>
  <c r="G80" i="1"/>
  <c r="G81" i="1"/>
  <c r="G82" i="1"/>
  <c r="H82" i="1" s="1"/>
  <c r="G83" i="1"/>
  <c r="H83" i="1" s="1"/>
  <c r="G84" i="1"/>
  <c r="G85" i="1"/>
  <c r="H85" i="1" s="1"/>
  <c r="G86" i="1"/>
  <c r="H86" i="1" s="1"/>
  <c r="G87" i="1"/>
  <c r="G88" i="1"/>
  <c r="H88" i="1" s="1"/>
  <c r="G89" i="1"/>
  <c r="G90" i="1"/>
  <c r="G91" i="1"/>
  <c r="H91" i="1" s="1"/>
  <c r="G92" i="1"/>
  <c r="H92" i="1" s="1"/>
  <c r="G93" i="1"/>
  <c r="G94" i="1"/>
  <c r="G95" i="1"/>
  <c r="H95" i="1" s="1"/>
  <c r="G96" i="1"/>
  <c r="G97" i="1"/>
  <c r="H97" i="1" s="1"/>
  <c r="G98" i="1"/>
  <c r="H98" i="1" s="1"/>
  <c r="K24" i="1"/>
  <c r="J24" i="1"/>
  <c r="I24" i="1"/>
  <c r="H23" i="1"/>
  <c r="J23" i="1" s="1"/>
  <c r="K23" i="1" s="1"/>
  <c r="H24" i="1"/>
  <c r="H25" i="1"/>
  <c r="I25" i="1" s="1"/>
  <c r="H27" i="1"/>
  <c r="I27" i="1" s="1"/>
  <c r="H30" i="1"/>
  <c r="J30" i="1" s="1"/>
  <c r="K30" i="1" s="1"/>
  <c r="H33" i="1"/>
  <c r="J33" i="1" s="1"/>
  <c r="K33" i="1" s="1"/>
  <c r="H36" i="1"/>
  <c r="I36" i="1" s="1"/>
  <c r="H38" i="1"/>
  <c r="I38" i="1" s="1"/>
  <c r="H39" i="1"/>
  <c r="I39" i="1" s="1"/>
  <c r="H44" i="1"/>
  <c r="I44" i="1" s="1"/>
  <c r="H50" i="1"/>
  <c r="J50" i="1" s="1"/>
  <c r="K50" i="1" s="1"/>
  <c r="H51" i="1"/>
  <c r="I51" i="1" s="1"/>
  <c r="G22" i="1"/>
  <c r="H22" i="1" s="1"/>
  <c r="G23" i="1"/>
  <c r="G24" i="1"/>
  <c r="G25" i="1"/>
  <c r="G26" i="1"/>
  <c r="H26" i="1" s="1"/>
  <c r="G27" i="1"/>
  <c r="G28" i="1"/>
  <c r="H28" i="1" s="1"/>
  <c r="G29" i="1"/>
  <c r="H29" i="1" s="1"/>
  <c r="G30" i="1"/>
  <c r="G31" i="1"/>
  <c r="H31" i="1" s="1"/>
  <c r="G32" i="1"/>
  <c r="H32" i="1" s="1"/>
  <c r="G33" i="1"/>
  <c r="G34" i="1"/>
  <c r="H34" i="1" s="1"/>
  <c r="G35" i="1"/>
  <c r="H35" i="1" s="1"/>
  <c r="G36" i="1"/>
  <c r="G37" i="1"/>
  <c r="H37" i="1" s="1"/>
  <c r="G38" i="1"/>
  <c r="G39" i="1"/>
  <c r="G40" i="1"/>
  <c r="H40" i="1" s="1"/>
  <c r="G41" i="1"/>
  <c r="H41" i="1" s="1"/>
  <c r="G42" i="1"/>
  <c r="H42" i="1" s="1"/>
  <c r="G43" i="1"/>
  <c r="H43" i="1" s="1"/>
  <c r="G44" i="1"/>
  <c r="G45" i="1"/>
  <c r="H45" i="1" s="1"/>
  <c r="G46" i="1"/>
  <c r="H46" i="1" s="1"/>
  <c r="G47" i="1"/>
  <c r="H47" i="1" s="1"/>
  <c r="G48" i="1"/>
  <c r="H48" i="1" s="1"/>
  <c r="G49" i="1"/>
  <c r="H49" i="1" s="1"/>
  <c r="G50" i="1"/>
  <c r="G51" i="1"/>
  <c r="G52" i="1"/>
  <c r="H52" i="1" s="1"/>
  <c r="G53" i="1"/>
  <c r="H53" i="1" s="1"/>
  <c r="G54" i="1"/>
  <c r="H54" i="1" s="1"/>
  <c r="G55" i="1"/>
  <c r="H55" i="1" s="1"/>
  <c r="J98" i="1" l="1"/>
  <c r="K98" i="1" s="1"/>
  <c r="I98" i="1"/>
  <c r="I95" i="1"/>
  <c r="J95" i="1"/>
  <c r="K95" i="1" s="1"/>
  <c r="I92" i="1"/>
  <c r="J92" i="1"/>
  <c r="K92" i="1" s="1"/>
  <c r="I89" i="1"/>
  <c r="J86" i="1"/>
  <c r="K86" i="1" s="1"/>
  <c r="I86" i="1"/>
  <c r="I83" i="1"/>
  <c r="J83" i="1"/>
  <c r="K83" i="1" s="1"/>
  <c r="J80" i="1"/>
  <c r="K80" i="1" s="1"/>
  <c r="J77" i="1"/>
  <c r="K77" i="1" s="1"/>
  <c r="I77" i="1"/>
  <c r="J74" i="1"/>
  <c r="K74" i="1" s="1"/>
  <c r="I74" i="1"/>
  <c r="I71" i="1"/>
  <c r="J71" i="1"/>
  <c r="K71" i="1" s="1"/>
  <c r="I68" i="1"/>
  <c r="J68" i="1"/>
  <c r="K68" i="1" s="1"/>
  <c r="J62" i="1"/>
  <c r="K62" i="1" s="1"/>
  <c r="I62" i="1"/>
  <c r="J59" i="1"/>
  <c r="K59" i="1" s="1"/>
  <c r="I59" i="1"/>
  <c r="I56" i="1"/>
  <c r="J56" i="1"/>
  <c r="K56" i="1" s="1"/>
  <c r="J53" i="1"/>
  <c r="K53" i="1" s="1"/>
  <c r="I53" i="1"/>
  <c r="I50" i="1"/>
  <c r="I47" i="1"/>
  <c r="J47" i="1"/>
  <c r="K47" i="1" s="1"/>
  <c r="J44" i="1"/>
  <c r="K44" i="1" s="1"/>
  <c r="I41" i="1"/>
  <c r="J41" i="1"/>
  <c r="K41" i="1" s="1"/>
  <c r="J38" i="1"/>
  <c r="K38" i="1" s="1"/>
  <c r="J35" i="1"/>
  <c r="K35" i="1" s="1"/>
  <c r="I35" i="1"/>
  <c r="J32" i="1"/>
  <c r="K32" i="1" s="1"/>
  <c r="I32" i="1"/>
  <c r="J29" i="1"/>
  <c r="K29" i="1" s="1"/>
  <c r="I29" i="1"/>
  <c r="I26" i="1"/>
  <c r="J26" i="1"/>
  <c r="K26" i="1" s="1"/>
  <c r="I23" i="1"/>
  <c r="I22" i="1"/>
  <c r="J22" i="1"/>
  <c r="K22" i="1" s="1"/>
  <c r="J25" i="1"/>
  <c r="K25" i="1" s="1"/>
  <c r="J28" i="1"/>
  <c r="K28" i="1" s="1"/>
  <c r="I28" i="1"/>
  <c r="J31" i="1"/>
  <c r="K31" i="1" s="1"/>
  <c r="I31" i="1"/>
  <c r="J34" i="1"/>
  <c r="K34" i="1" s="1"/>
  <c r="I34" i="1"/>
  <c r="J37" i="1"/>
  <c r="K37" i="1" s="1"/>
  <c r="I37" i="1"/>
  <c r="I40" i="1"/>
  <c r="J40" i="1"/>
  <c r="K40" i="1" s="1"/>
  <c r="I43" i="1"/>
  <c r="J43" i="1"/>
  <c r="K43" i="1" s="1"/>
  <c r="J46" i="1"/>
  <c r="K46" i="1" s="1"/>
  <c r="I46" i="1"/>
  <c r="J49" i="1"/>
  <c r="K49" i="1" s="1"/>
  <c r="I49" i="1"/>
  <c r="J52" i="1"/>
  <c r="K52" i="1" s="1"/>
  <c r="I52" i="1"/>
  <c r="J55" i="1"/>
  <c r="K55" i="1" s="1"/>
  <c r="I55" i="1"/>
  <c r="J58" i="1"/>
  <c r="K58" i="1" s="1"/>
  <c r="I58" i="1"/>
  <c r="J61" i="1"/>
  <c r="K61" i="1" s="1"/>
  <c r="I61" i="1"/>
  <c r="I64" i="1"/>
  <c r="J64" i="1"/>
  <c r="K64" i="1" s="1"/>
  <c r="I67" i="1"/>
  <c r="I70" i="1"/>
  <c r="J70" i="1"/>
  <c r="K70" i="1" s="1"/>
  <c r="J73" i="1"/>
  <c r="K73" i="1" s="1"/>
  <c r="I73" i="1"/>
  <c r="I76" i="1"/>
  <c r="J79" i="1"/>
  <c r="K79" i="1" s="1"/>
  <c r="I79" i="1"/>
  <c r="I82" i="1"/>
  <c r="J82" i="1"/>
  <c r="K82" i="1" s="1"/>
  <c r="I85" i="1"/>
  <c r="J85" i="1"/>
  <c r="K85" i="1" s="1"/>
  <c r="I88" i="1"/>
  <c r="J88" i="1"/>
  <c r="K88" i="1" s="1"/>
  <c r="J91" i="1"/>
  <c r="K91" i="1" s="1"/>
  <c r="I91" i="1"/>
  <c r="I94" i="1"/>
  <c r="J97" i="1"/>
  <c r="K97" i="1" s="1"/>
  <c r="I97" i="1"/>
  <c r="J96" i="1"/>
  <c r="K96" i="1" s="1"/>
  <c r="I93" i="1"/>
  <c r="J90" i="1"/>
  <c r="K90" i="1" s="1"/>
  <c r="J87" i="1"/>
  <c r="K87" i="1" s="1"/>
  <c r="J84" i="1"/>
  <c r="K84" i="1" s="1"/>
  <c r="I81" i="1"/>
  <c r="J78" i="1"/>
  <c r="K78" i="1" s="1"/>
  <c r="J75" i="1"/>
  <c r="K75" i="1" s="1"/>
  <c r="J72" i="1"/>
  <c r="K72" i="1" s="1"/>
  <c r="I69" i="1"/>
  <c r="J66" i="1"/>
  <c r="K66" i="1" s="1"/>
  <c r="I63" i="1"/>
  <c r="J63" i="1"/>
  <c r="K63" i="1" s="1"/>
  <c r="J57" i="1"/>
  <c r="K57" i="1" s="1"/>
  <c r="I57" i="1"/>
  <c r="J54" i="1"/>
  <c r="K54" i="1" s="1"/>
  <c r="I54" i="1"/>
  <c r="J51" i="1"/>
  <c r="K51" i="1" s="1"/>
  <c r="J48" i="1"/>
  <c r="K48" i="1" s="1"/>
  <c r="I48" i="1"/>
  <c r="J45" i="1"/>
  <c r="K45" i="1" s="1"/>
  <c r="I45" i="1"/>
  <c r="I42" i="1"/>
  <c r="J42" i="1"/>
  <c r="K42" i="1" s="1"/>
  <c r="J39" i="1"/>
  <c r="K39" i="1" s="1"/>
  <c r="J36" i="1"/>
  <c r="K36" i="1" s="1"/>
  <c r="I33" i="1"/>
  <c r="I30" i="1"/>
  <c r="J27" i="1"/>
  <c r="K27" i="1" s="1"/>
  <c r="F10" i="1"/>
  <c r="F11" i="1"/>
  <c r="F12" i="1"/>
  <c r="F13" i="1"/>
  <c r="F14" i="1"/>
  <c r="F15" i="1"/>
  <c r="F16" i="1"/>
  <c r="F17" i="1"/>
  <c r="F18" i="1"/>
  <c r="F19" i="1"/>
  <c r="F20" i="1"/>
  <c r="F21" i="1"/>
  <c r="F9" i="1"/>
  <c r="F5" i="1"/>
  <c r="G10" i="1" s="1"/>
  <c r="H10" i="1" s="1"/>
  <c r="F3" i="1"/>
  <c r="G19" i="1" l="1"/>
  <c r="H19" i="1" s="1"/>
  <c r="J19" i="1" s="1"/>
  <c r="K19" i="1" s="1"/>
  <c r="G15" i="1"/>
  <c r="H15" i="1" s="1"/>
  <c r="I15" i="1" s="1"/>
  <c r="G14" i="1"/>
  <c r="H14" i="1" s="1"/>
  <c r="I14" i="1" s="1"/>
  <c r="G13" i="1"/>
  <c r="H13" i="1" s="1"/>
  <c r="J13" i="1" s="1"/>
  <c r="K13" i="1" s="1"/>
  <c r="G21" i="1"/>
  <c r="H21" i="1" s="1"/>
  <c r="I21" i="1" s="1"/>
  <c r="G20" i="1"/>
  <c r="H20" i="1" s="1"/>
  <c r="J20" i="1" s="1"/>
  <c r="K20" i="1" s="1"/>
  <c r="G12" i="1"/>
  <c r="H12" i="1" s="1"/>
  <c r="J12" i="1" s="1"/>
  <c r="K12" i="1" s="1"/>
  <c r="G17" i="1"/>
  <c r="H17" i="1" s="1"/>
  <c r="G11" i="1"/>
  <c r="H11" i="1" s="1"/>
  <c r="I11" i="1" s="1"/>
  <c r="G18" i="1"/>
  <c r="H18" i="1" s="1"/>
  <c r="G9" i="1"/>
  <c r="H9" i="1" s="1"/>
  <c r="J9" i="1" s="1"/>
  <c r="K9" i="1" s="1"/>
  <c r="G16" i="1"/>
  <c r="H16" i="1" s="1"/>
  <c r="I10" i="1"/>
  <c r="J10" i="1"/>
  <c r="K10" i="1" s="1"/>
  <c r="J14" i="1"/>
  <c r="K14" i="1" s="1"/>
  <c r="J21" i="1" l="1"/>
  <c r="K21" i="1" s="1"/>
  <c r="J15" i="1"/>
  <c r="K15" i="1" s="1"/>
  <c r="I19" i="1"/>
  <c r="I20" i="1"/>
  <c r="I13" i="1"/>
  <c r="I9" i="1"/>
  <c r="I12" i="1"/>
  <c r="I18" i="1"/>
  <c r="J18" i="1"/>
  <c r="K18" i="1" s="1"/>
  <c r="I17" i="1"/>
  <c r="J17" i="1"/>
  <c r="K17" i="1" s="1"/>
  <c r="J11" i="1"/>
  <c r="K11" i="1" s="1"/>
  <c r="J16" i="1"/>
  <c r="K16" i="1" s="1"/>
  <c r="I16" i="1"/>
</calcChain>
</file>

<file path=xl/sharedStrings.xml><?xml version="1.0" encoding="utf-8"?>
<sst xmlns="http://schemas.openxmlformats.org/spreadsheetml/2006/main" count="110" uniqueCount="110">
  <si>
    <t>דוגמה</t>
  </si>
  <si>
    <t>חישוב משקע חלבון סופי</t>
  </si>
  <si>
    <t>משקל כללי (g)</t>
  </si>
  <si>
    <t>אחוז משקל יבש (%)</t>
  </si>
  <si>
    <t>משקל לבדיקה (g)</t>
  </si>
  <si>
    <t>נפח טיטרציה (מ"ל)</t>
  </si>
  <si>
    <t>חנקן בדוגמה (g)</t>
  </si>
  <si>
    <t>חלבון בדוגמה (g)</t>
  </si>
  <si>
    <t>אחוז חלבון בדוגמה (%)</t>
  </si>
  <si>
    <t>חלבון כללי (g)</t>
  </si>
  <si>
    <t>Titrant normality (0.1N)</t>
  </si>
  <si>
    <t>MW of nitrogen (g/mol)</t>
  </si>
  <si>
    <t>HCl</t>
  </si>
  <si>
    <t>exact normality</t>
  </si>
  <si>
    <t>mol/ml</t>
  </si>
  <si>
    <t>Conversion factor for nitrogen to protein</t>
  </si>
  <si>
    <t>אחוז חלבון כללי (%)</t>
  </si>
  <si>
    <t>blunk</t>
  </si>
  <si>
    <t>total protein %</t>
  </si>
  <si>
    <t>משקל משקע סופי (g)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</si>
  <si>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</si>
  <si>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</si>
  <si>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</si>
  <si>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</si>
  <si>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</si>
  <si>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</si>
  <si>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</si>
  <si>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</si>
  <si>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</si>
  <si>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</si>
  <si>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</si>
  <si>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</si>
  <si>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</si>
  <si>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</si>
  <si>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</si>
  <si>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</si>
  <si>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</si>
  <si>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</si>
  <si>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</si>
  <si>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</si>
  <si>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</si>
  <si>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</si>
  <si>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</si>
  <si>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</si>
  <si>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</si>
  <si>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</si>
  <si>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</si>
  <si>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</si>
  <si>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</si>
  <si>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</si>
  <si>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</si>
  <si>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</si>
  <si>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</si>
  <si>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</si>
  <si>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</si>
  <si>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</si>
  <si>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</si>
  <si>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</si>
  <si>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</si>
  <si>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</si>
  <si>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</si>
  <si>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</si>
  <si>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15a</t>
  </si>
  <si>
    <t>15b</t>
  </si>
  <si>
    <t>15c</t>
  </si>
  <si>
    <t>16a</t>
  </si>
  <si>
    <t>16b</t>
  </si>
  <si>
    <t>16c</t>
  </si>
  <si>
    <t>17a</t>
  </si>
  <si>
    <t>17b</t>
  </si>
  <si>
    <t>17c</t>
  </si>
  <si>
    <t>18a</t>
  </si>
  <si>
    <t>18b</t>
  </si>
  <si>
    <t>18c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</si>
  <si>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</si>
  <si>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</si>
  <si>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</si>
  <si>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</si>
  <si>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</si>
  <si>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</si>
  <si>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</si>
  <si>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</si>
  <si>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</si>
  <si>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</si>
  <si>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</si>
  <si>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</si>
  <si>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</si>
  <si>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</si>
  <si>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</si>
  <si>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</si>
  <si>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</si>
  <si>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</si>
  <si>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</si>
  <si>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</si>
  <si>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</si>
  <si>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26a</t>
  </si>
  <si>
    <t>26b</t>
  </si>
  <si>
    <t>26c</t>
  </si>
  <si>
    <t>27a</t>
  </si>
  <si>
    <t>27b</t>
  </si>
  <si>
    <t>27c</t>
  </si>
  <si>
    <t>28a</t>
  </si>
  <si>
    <t>28b</t>
  </si>
  <si>
    <t>28c</t>
  </si>
  <si>
    <t>29a</t>
  </si>
  <si>
    <t>29b</t>
  </si>
  <si>
    <t>29c</t>
  </si>
  <si>
    <t>30a</t>
  </si>
  <si>
    <t>30b</t>
  </si>
  <si>
    <t>30c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</si>
</sst>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5" xfId="0" applyFill="1" applyBorder="1"/>
    <xf numFmtId="0" fontId="0" fillId="0" borderId="15" xfId="0" applyBorder="1" applyAlignment="1"/>
    <xf numFmtId="0" fontId="0" fillId="0" borderId="17" xfId="0" applyFill="1" applyBorder="1"/>
    <xf numFmtId="0" fontId="0" fillId="0" borderId="18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3" xfId="0" applyFill="1" applyBorder="1"/>
    <xf numFmtId="0" fontId="0" fillId="0" borderId="19" xfId="0" applyFill="1" applyBorder="1"/>
    <xf numFmtId="0" fontId="0" fillId="0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rightToLeft="1" tabSelected="1" topLeftCell="A61" workbookViewId="0">
      <selection activeCell="D16" sqref="D16"/>
    </sheetView>
  </sheetViews>
  <sheetFormatPr baseColWidth="10" defaultColWidth="8.83203125" defaultRowHeight="15" x14ac:dyDescent="0.2"/>
  <cols>
    <col min="1" max="1" width="10.83203125" customWidth="1"/>
    <col min="2" max="2" width="15" customWidth="1"/>
    <col min="3" max="3" width="11.5" customWidth="1"/>
    <col min="4" max="4" width="16.1640625" customWidth="1"/>
    <col min="5" max="5" width="13.6640625" bestFit="1" customWidth="1"/>
    <col min="6" max="6" width="14.5" bestFit="1" customWidth="1"/>
    <col min="7" max="7" width="19" bestFit="1" customWidth="1"/>
    <col min="8" max="8" width="12.6640625" bestFit="1" customWidth="1"/>
    <col min="9" max="9" width="17.83203125" customWidth="1"/>
    <col min="10" max="10" width="10.83203125" customWidth="1"/>
    <col min="11" max="11" width="15.33203125" bestFit="1" customWidth="1"/>
    <col min="12" max="12" width="17.83203125" bestFit="1" customWidth="1"/>
    <col min="16" max="16" width="12.5" bestFit="1" customWidth="1"/>
    <col min="17" max="17" width="18.5" bestFit="1" customWidth="1"/>
    <col min="18" max="18" width="19.33203125" bestFit="1" customWidth="1"/>
    <col min="19" max="19" width="18.33203125" bestFit="1" customWidth="1"/>
    <col min="20" max="20" width="18.1640625" bestFit="1" customWidth="1"/>
  </cols>
  <sheetData>
    <row r="1" spans="1:11" ht="32" x14ac:dyDescent="0.2">
      <c r="A1" s="25" t="s">
        <v>15</v>
      </c>
      <c r="B1" s="26"/>
      <c r="C1" s="27"/>
      <c r="D1" s="1"/>
      <c r="E1" s="1"/>
      <c r="F1" s="2" t="s">
        <v>10</v>
      </c>
      <c r="G1" s="3" t="s">
        <v>11</v>
      </c>
    </row>
    <row r="2" spans="1:11" ht="16" thickBot="1" x14ac:dyDescent="0.25">
      <c r="A2" s="7"/>
      <c r="B2" s="8"/>
      <c r="C2" s="9">
        <v>6.25</v>
      </c>
      <c r="D2" s="5" t="s">
        <v>12</v>
      </c>
      <c r="E2" s="5" t="s">
        <v>13</v>
      </c>
      <c r="F2" s="5">
        <v>0.1</v>
      </c>
      <c r="G2" s="6">
        <v>14.0067</v>
      </c>
    </row>
    <row r="3" spans="1:11" ht="16" thickBot="1" x14ac:dyDescent="0.25">
      <c r="B3" s="10">
        <v>0.3</v>
      </c>
      <c r="C3" s="11" t="s">
        <v>17</v>
      </c>
      <c r="D3" s="4"/>
      <c r="E3" s="5" t="s">
        <v>14</v>
      </c>
      <c r="F3" s="5">
        <f>F2/1000</f>
        <v>1E-4</v>
      </c>
      <c r="G3" s="6"/>
    </row>
    <row r="4" spans="1:11" ht="16" thickBot="1" x14ac:dyDescent="0.25">
      <c r="B4" s="10">
        <v>13</v>
      </c>
      <c r="C4" s="11" t="s">
        <v>18</v>
      </c>
      <c r="D4" s="4"/>
      <c r="E4" s="5"/>
      <c r="F4" s="5">
        <v>9.98E-2</v>
      </c>
      <c r="G4" s="6"/>
    </row>
    <row r="5" spans="1:11" ht="16" thickBot="1" x14ac:dyDescent="0.25">
      <c r="D5" s="7"/>
      <c r="E5" s="8"/>
      <c r="F5" s="8">
        <f>F4/1000</f>
        <v>9.98E-5</v>
      </c>
      <c r="G5" s="9"/>
    </row>
    <row r="6" spans="1:11" x14ac:dyDescent="0.2">
      <c r="A6" s="24" t="s">
        <v>1</v>
      </c>
      <c r="B6" s="24"/>
      <c r="C6" s="24"/>
    </row>
    <row r="8" spans="1:11" ht="16" thickBot="1" x14ac:dyDescent="0.25">
      <c r="A8" t="s">
        <v>0</v>
      </c>
      <c r="B8" t="s">
        <v>2</v>
      </c>
      <c r="C8" t="s">
        <v>19</v>
      </c>
      <c r="D8" t="s">
        <v>4</v>
      </c>
      <c r="E8" t="s">
        <v>5</v>
      </c>
      <c r="F8" t="s">
        <v>3</v>
      </c>
      <c r="G8" t="s">
        <v>6</v>
      </c>
      <c r="H8" t="s">
        <v>7</v>
      </c>
      <c r="I8" t="s">
        <v>8</v>
      </c>
      <c r="J8" t="s">
        <v>9</v>
      </c>
      <c r="K8" t="s">
        <v>16</v>
      </c>
    </row>
    <row r="9" spans="1:11" x14ac:dyDescent="0.2">
      <c r="A9" s="14" t="s">
        <v>20</v>
      </c>
      <c r="B9" s="15">
        <v>0.2</v>
      </c>
      <c r="C9" s="16">
        <v>0.2</v>
      </c>
      <c r="D9" s="16">
        <v>0.20100000000000001</v>
      </c>
      <c r="E9" s="16">
        <v>3.51</v>
      </c>
      <c r="F9" s="16">
        <f>C9/B9</f>
        <v>1</v>
      </c>
      <c r="G9" s="16">
        <f>((E9-$B$3)*$F$5*$G$2)</f>
        <v>4.4871583986E-3</v>
      </c>
      <c r="H9" s="16">
        <f>G9*$C$2</f>
        <v>2.8044739991250001E-2</v>
      </c>
      <c r="I9" s="16">
        <f>(H9/D9)*100</f>
        <v>13.952606960820896</v>
      </c>
      <c r="J9" s="16">
        <f>((C9/D9)*H9)</f>
        <v>2.7905213921641792E-2</v>
      </c>
      <c r="K9" s="17">
        <f>(J9/B9)*100</f>
        <v>13.952606960820896</v>
      </c>
    </row>
    <row r="10" spans="1:11" x14ac:dyDescent="0.2">
      <c r="A10" s="18" t="s">
        <v>21</v>
      </c>
      <c r="B10" s="13">
        <v>0.2</v>
      </c>
      <c r="C10" s="12">
        <v>0.2</v>
      </c>
      <c r="D10" s="12">
        <v>0.2</v>
      </c>
      <c r="E10" s="12">
        <v>3.67</v>
      </c>
      <c r="F10" s="12">
        <f t="shared" ref="F10:F73" si="0">C10/B10</f>
        <v>1</v>
      </c>
      <c r="G10" s="12">
        <f t="shared" ref="G10:G73" si="1">((E10-$B$3)*$F$5*$G$2)</f>
        <v>4.7108173842000008E-3</v>
      </c>
      <c r="H10" s="12">
        <f t="shared" ref="H10:H73" si="2">G10*$C$2</f>
        <v>2.9442608651250004E-2</v>
      </c>
      <c r="I10" s="12">
        <f t="shared" ref="I10:I73" si="3">(H10/D10)*100</f>
        <v>14.721304325625001</v>
      </c>
      <c r="J10" s="12">
        <f t="shared" ref="J10:J73" si="4">((C10/D10)*H10)</f>
        <v>2.9442608651250004E-2</v>
      </c>
      <c r="K10" s="19">
        <f t="shared" ref="K10:K73" si="5">(J10/B10)*100</f>
        <v>14.721304325625001</v>
      </c>
    </row>
    <row r="11" spans="1:11" ht="16" thickBot="1" x14ac:dyDescent="0.25">
      <c r="A11" s="32" t="s">
        <v>22</v>
      </c>
      <c r="B11" s="33">
        <v>0.2</v>
      </c>
      <c r="C11" s="23">
        <v>0.2</v>
      </c>
      <c r="D11" s="23">
        <v>0.20499999999999999</v>
      </c>
      <c r="E11" s="23">
        <v>3.46</v>
      </c>
      <c r="F11" s="23">
        <f t="shared" si="0"/>
        <v>1</v>
      </c>
      <c r="G11" s="23">
        <f t="shared" si="1"/>
        <v>4.4172649655999999E-3</v>
      </c>
      <c r="H11" s="23">
        <f t="shared" si="2"/>
        <v>2.7607906034999997E-2</v>
      </c>
      <c r="I11" s="23">
        <f t="shared" si="3"/>
        <v>13.467271236585365</v>
      </c>
      <c r="J11" s="23">
        <f t="shared" si="4"/>
        <v>2.6934542473170731E-2</v>
      </c>
      <c r="K11" s="34">
        <f t="shared" si="5"/>
        <v>13.467271236585365</v>
      </c>
    </row>
    <row r="12" spans="1:11" x14ac:dyDescent="0.2">
      <c r="A12" s="14" t="s">
        <v>23</v>
      </c>
      <c r="B12" s="15">
        <v>0.2</v>
      </c>
      <c r="C12" s="16">
        <v>0.2</v>
      </c>
      <c r="D12" s="16">
        <v>0.193</v>
      </c>
      <c r="E12" s="16">
        <v>2.75</v>
      </c>
      <c r="F12" s="16">
        <f t="shared" si="0"/>
        <v>1</v>
      </c>
      <c r="G12" s="16">
        <f t="shared" si="1"/>
        <v>3.4247782170000003E-3</v>
      </c>
      <c r="H12" s="16">
        <f t="shared" si="2"/>
        <v>2.1404863856250001E-2</v>
      </c>
      <c r="I12" s="16">
        <f t="shared" si="3"/>
        <v>11.090603034326426</v>
      </c>
      <c r="J12" s="16">
        <f t="shared" si="4"/>
        <v>2.2181206068652853E-2</v>
      </c>
      <c r="K12" s="17">
        <f t="shared" si="5"/>
        <v>11.090603034326426</v>
      </c>
    </row>
    <row r="13" spans="1:11" x14ac:dyDescent="0.2">
      <c r="A13" s="18" t="s">
        <v>24</v>
      </c>
      <c r="B13" s="13">
        <v>0.2</v>
      </c>
      <c r="C13" s="12">
        <v>0.2</v>
      </c>
      <c r="D13" s="12">
        <v>0.20200000000000001</v>
      </c>
      <c r="E13" s="12">
        <v>2.64</v>
      </c>
      <c r="F13" s="12">
        <f t="shared" si="0"/>
        <v>1</v>
      </c>
      <c r="G13" s="12">
        <f t="shared" si="1"/>
        <v>3.2710126644000005E-3</v>
      </c>
      <c r="H13" s="12">
        <f t="shared" si="2"/>
        <v>2.0443829152500002E-2</v>
      </c>
      <c r="I13" s="12">
        <f t="shared" si="3"/>
        <v>10.120707501237625</v>
      </c>
      <c r="J13" s="12">
        <f t="shared" si="4"/>
        <v>2.0241415002475251E-2</v>
      </c>
      <c r="K13" s="19">
        <f t="shared" si="5"/>
        <v>10.120707501237625</v>
      </c>
    </row>
    <row r="14" spans="1:11" ht="16" thickBot="1" x14ac:dyDescent="0.25">
      <c r="A14" s="32" t="s">
        <v>25</v>
      </c>
      <c r="B14" s="33">
        <v>0.2</v>
      </c>
      <c r="C14" s="23">
        <v>0.2</v>
      </c>
      <c r="D14" s="23">
        <v>0.20300000000000001</v>
      </c>
      <c r="E14" s="23">
        <v>2.72</v>
      </c>
      <c r="F14" s="23">
        <f t="shared" si="0"/>
        <v>1</v>
      </c>
      <c r="G14" s="23">
        <f t="shared" si="1"/>
        <v>3.3828421572000009E-3</v>
      </c>
      <c r="H14" s="23">
        <f t="shared" si="2"/>
        <v>2.1142763482500007E-2</v>
      </c>
      <c r="I14" s="23">
        <f t="shared" si="3"/>
        <v>10.415154424876851</v>
      </c>
      <c r="J14" s="23">
        <f t="shared" si="4"/>
        <v>2.0830308849753704E-2</v>
      </c>
      <c r="K14" s="34">
        <f t="shared" si="5"/>
        <v>10.415154424876851</v>
      </c>
    </row>
    <row r="15" spans="1:11" x14ac:dyDescent="0.2">
      <c r="A15" s="28" t="s">
        <v>26</v>
      </c>
      <c r="B15" s="29">
        <v>0.2</v>
      </c>
      <c r="C15" s="30">
        <v>0.2</v>
      </c>
      <c r="D15" s="30">
        <v>9.6000000000000002E-2</v>
      </c>
      <c r="E15" s="30">
        <v>1.65</v>
      </c>
      <c r="F15" s="30">
        <f t="shared" si="0"/>
        <v>1</v>
      </c>
      <c r="G15" s="30">
        <f t="shared" si="1"/>
        <v>1.8871226909999998E-3</v>
      </c>
      <c r="H15" s="30">
        <f t="shared" si="2"/>
        <v>1.1794516818749998E-2</v>
      </c>
      <c r="I15" s="30">
        <f t="shared" si="3"/>
        <v>12.285955019531247</v>
      </c>
      <c r="J15" s="30">
        <f t="shared" si="4"/>
        <v>2.4571910039062499E-2</v>
      </c>
      <c r="K15" s="31">
        <f t="shared" si="5"/>
        <v>12.285955019531249</v>
      </c>
    </row>
    <row r="16" spans="1:11" x14ac:dyDescent="0.2">
      <c r="A16" s="18" t="s">
        <v>27</v>
      </c>
      <c r="B16" s="13">
        <v>0.2</v>
      </c>
      <c r="C16" s="12">
        <v>0.2</v>
      </c>
      <c r="D16" s="12">
        <v>0.185</v>
      </c>
      <c r="E16" s="12">
        <v>3.14</v>
      </c>
      <c r="F16" s="12">
        <f t="shared" si="0"/>
        <v>1</v>
      </c>
      <c r="G16" s="12">
        <f t="shared" si="1"/>
        <v>3.9699469944000001E-3</v>
      </c>
      <c r="H16" s="12">
        <f t="shared" si="2"/>
        <v>2.4812168714999999E-2</v>
      </c>
      <c r="I16" s="12">
        <f t="shared" si="3"/>
        <v>13.411983089189189</v>
      </c>
      <c r="J16" s="12">
        <f t="shared" si="4"/>
        <v>2.6823966178378379E-2</v>
      </c>
      <c r="K16" s="19">
        <f t="shared" si="5"/>
        <v>13.411983089189189</v>
      </c>
    </row>
    <row r="17" spans="1:11" ht="16" thickBot="1" x14ac:dyDescent="0.25">
      <c r="A17" s="35" t="s">
        <v>28</v>
      </c>
      <c r="B17" s="36">
        <v>0.2</v>
      </c>
      <c r="C17" s="37">
        <v>0.2</v>
      </c>
      <c r="D17" s="37">
        <v>8.3000000000000004E-2</v>
      </c>
      <c r="E17" s="37">
        <v>1.42</v>
      </c>
      <c r="F17" s="37">
        <f t="shared" si="0"/>
        <v>1</v>
      </c>
      <c r="G17" s="37">
        <f t="shared" si="1"/>
        <v>1.5656128991999999E-3</v>
      </c>
      <c r="H17" s="37">
        <f t="shared" si="2"/>
        <v>9.7850806199999991E-3</v>
      </c>
      <c r="I17" s="37">
        <f t="shared" si="3"/>
        <v>11.789253759036143</v>
      </c>
      <c r="J17" s="37">
        <f t="shared" si="4"/>
        <v>2.3578507518072288E-2</v>
      </c>
      <c r="K17" s="38">
        <f t="shared" si="5"/>
        <v>11.789253759036143</v>
      </c>
    </row>
    <row r="18" spans="1:11" x14ac:dyDescent="0.2">
      <c r="A18" s="14" t="s">
        <v>29</v>
      </c>
      <c r="B18" s="15">
        <v>0.2</v>
      </c>
      <c r="C18" s="16">
        <v>0.2</v>
      </c>
      <c r="D18" s="16">
        <v>0.19600000000000001</v>
      </c>
      <c r="E18" s="16">
        <v>3.06</v>
      </c>
      <c r="F18" s="16">
        <f t="shared" si="0"/>
        <v>1</v>
      </c>
      <c r="G18" s="16">
        <f t="shared" si="1"/>
        <v>3.8581175016000006E-3</v>
      </c>
      <c r="H18" s="16">
        <f t="shared" si="2"/>
        <v>2.4113234385000005E-2</v>
      </c>
      <c r="I18" s="16">
        <f t="shared" si="3"/>
        <v>12.302670604591839</v>
      </c>
      <c r="J18" s="16">
        <f t="shared" si="4"/>
        <v>2.460534120918368E-2</v>
      </c>
      <c r="K18" s="17">
        <f t="shared" si="5"/>
        <v>12.302670604591839</v>
      </c>
    </row>
    <row r="19" spans="1:11" x14ac:dyDescent="0.2">
      <c r="A19" s="18" t="s">
        <v>30</v>
      </c>
      <c r="B19" s="13">
        <v>0.2</v>
      </c>
      <c r="C19" s="12">
        <v>0.2</v>
      </c>
      <c r="D19" s="12">
        <v>0.19900000000000001</v>
      </c>
      <c r="E19" s="12">
        <v>3.12</v>
      </c>
      <c r="F19" s="12">
        <f t="shared" si="0"/>
        <v>1</v>
      </c>
      <c r="G19" s="12">
        <f t="shared" si="1"/>
        <v>3.9419896212000002E-3</v>
      </c>
      <c r="H19" s="12">
        <f t="shared" si="2"/>
        <v>2.46374351325E-2</v>
      </c>
      <c r="I19" s="12">
        <f t="shared" si="3"/>
        <v>12.380620669597988</v>
      </c>
      <c r="J19" s="12">
        <f t="shared" si="4"/>
        <v>2.4761241339195977E-2</v>
      </c>
      <c r="K19" s="19">
        <f t="shared" si="5"/>
        <v>12.380620669597988</v>
      </c>
    </row>
    <row r="20" spans="1:11" ht="16" thickBot="1" x14ac:dyDescent="0.25">
      <c r="A20" s="32" t="s">
        <v>31</v>
      </c>
      <c r="B20" s="33">
        <v>0.2</v>
      </c>
      <c r="C20" s="23">
        <v>0.2</v>
      </c>
      <c r="D20" s="23">
        <v>0.20899999999999999</v>
      </c>
      <c r="E20" s="23">
        <v>3.23</v>
      </c>
      <c r="F20" s="23">
        <f t="shared" si="0"/>
        <v>1</v>
      </c>
      <c r="G20" s="23">
        <f t="shared" si="1"/>
        <v>4.0957551738E-3</v>
      </c>
      <c r="H20" s="23">
        <f t="shared" si="2"/>
        <v>2.5598469836249998E-2</v>
      </c>
      <c r="I20" s="23">
        <f t="shared" si="3"/>
        <v>12.248071691985645</v>
      </c>
      <c r="J20" s="23">
        <f t="shared" si="4"/>
        <v>2.4496143383971294E-2</v>
      </c>
      <c r="K20" s="34">
        <f t="shared" si="5"/>
        <v>12.248071691985645</v>
      </c>
    </row>
    <row r="21" spans="1:11" x14ac:dyDescent="0.2">
      <c r="A21" s="28" t="s">
        <v>32</v>
      </c>
      <c r="B21" s="29">
        <v>0.2</v>
      </c>
      <c r="C21" s="30">
        <v>0.2</v>
      </c>
      <c r="D21" s="30">
        <v>0.26200000000000001</v>
      </c>
      <c r="E21" s="30">
        <v>4.17</v>
      </c>
      <c r="F21" s="30">
        <f t="shared" si="0"/>
        <v>1</v>
      </c>
      <c r="G21" s="30">
        <f t="shared" si="1"/>
        <v>5.4097517142000003E-3</v>
      </c>
      <c r="H21" s="30">
        <f t="shared" si="2"/>
        <v>3.3810948213750004E-2</v>
      </c>
      <c r="I21" s="30">
        <f t="shared" si="3"/>
        <v>12.904942066316796</v>
      </c>
      <c r="J21" s="30">
        <f t="shared" si="4"/>
        <v>2.5809884132633593E-2</v>
      </c>
      <c r="K21" s="31">
        <f t="shared" si="5"/>
        <v>12.904942066316796</v>
      </c>
    </row>
    <row r="22" spans="1:11" x14ac:dyDescent="0.2">
      <c r="A22" s="20" t="s">
        <v>33</v>
      </c>
      <c r="B22" s="13">
        <v>0.2</v>
      </c>
      <c r="C22" s="12">
        <v>0.2</v>
      </c>
      <c r="D22" s="12">
        <v>0.20399999999999999</v>
      </c>
      <c r="E22" s="12">
        <v>3.41</v>
      </c>
      <c r="F22" s="12">
        <f t="shared" si="0"/>
        <v>1</v>
      </c>
      <c r="G22" s="12">
        <f t="shared" si="1"/>
        <v>4.3473715326000006E-3</v>
      </c>
      <c r="H22" s="12">
        <f t="shared" si="2"/>
        <v>2.7171072078750004E-2</v>
      </c>
      <c r="I22" s="12">
        <f t="shared" si="3"/>
        <v>13.319152979779414</v>
      </c>
      <c r="J22" s="12">
        <f t="shared" si="4"/>
        <v>2.6638305959558829E-2</v>
      </c>
      <c r="K22" s="19">
        <f t="shared" si="5"/>
        <v>13.319152979779414</v>
      </c>
    </row>
    <row r="23" spans="1:11" ht="16" thickBot="1" x14ac:dyDescent="0.25">
      <c r="A23" s="39" t="s">
        <v>34</v>
      </c>
      <c r="B23" s="36">
        <v>0.2</v>
      </c>
      <c r="C23" s="37">
        <v>0.2</v>
      </c>
      <c r="D23" s="37">
        <v>0.217</v>
      </c>
      <c r="E23" s="37">
        <v>3.49</v>
      </c>
      <c r="F23" s="37">
        <f t="shared" si="0"/>
        <v>1</v>
      </c>
      <c r="G23" s="37">
        <f t="shared" si="1"/>
        <v>4.459201025400001E-3</v>
      </c>
      <c r="H23" s="37">
        <f t="shared" si="2"/>
        <v>2.7870006408750005E-2</v>
      </c>
      <c r="I23" s="37">
        <f t="shared" si="3"/>
        <v>12.843320925691245</v>
      </c>
      <c r="J23" s="37">
        <f t="shared" si="4"/>
        <v>2.5686641851382492E-2</v>
      </c>
      <c r="K23" s="38">
        <f t="shared" si="5"/>
        <v>12.843320925691245</v>
      </c>
    </row>
    <row r="24" spans="1:11" x14ac:dyDescent="0.2">
      <c r="A24" s="41" t="s">
        <v>35</v>
      </c>
      <c r="B24" s="15">
        <v>0.2</v>
      </c>
      <c r="C24" s="16">
        <v>0.2</v>
      </c>
      <c r="D24" s="16">
        <v>0.192</v>
      </c>
      <c r="E24" s="16">
        <v>2.95</v>
      </c>
      <c r="F24" s="16">
        <f t="shared" si="0"/>
        <v>1</v>
      </c>
      <c r="G24" s="16">
        <f t="shared" si="1"/>
        <v>3.7043519490000008E-3</v>
      </c>
      <c r="H24" s="16">
        <f t="shared" si="2"/>
        <v>2.3152199681250006E-2</v>
      </c>
      <c r="I24" s="16">
        <f t="shared" si="3"/>
        <v>12.058437333984378</v>
      </c>
      <c r="J24" s="16">
        <f t="shared" si="4"/>
        <v>2.4116874667968757E-2</v>
      </c>
      <c r="K24" s="17">
        <f t="shared" si="5"/>
        <v>12.058437333984378</v>
      </c>
    </row>
    <row r="25" spans="1:11" x14ac:dyDescent="0.2">
      <c r="A25" s="20" t="s">
        <v>36</v>
      </c>
      <c r="B25" s="13">
        <v>0.2</v>
      </c>
      <c r="C25" s="12">
        <v>0.2</v>
      </c>
      <c r="D25" s="12">
        <v>0.2</v>
      </c>
      <c r="E25" s="12">
        <v>3.22</v>
      </c>
      <c r="F25" s="12">
        <f t="shared" si="0"/>
        <v>1</v>
      </c>
      <c r="G25" s="12">
        <f t="shared" si="1"/>
        <v>4.0817764872000005E-3</v>
      </c>
      <c r="H25" s="12">
        <f t="shared" si="2"/>
        <v>2.5511103045000004E-2</v>
      </c>
      <c r="I25" s="12">
        <f t="shared" si="3"/>
        <v>12.755551522499999</v>
      </c>
      <c r="J25" s="12">
        <f t="shared" si="4"/>
        <v>2.5511103045000004E-2</v>
      </c>
      <c r="K25" s="19">
        <f t="shared" si="5"/>
        <v>12.755551522499999</v>
      </c>
    </row>
    <row r="26" spans="1:11" ht="16" thickBot="1" x14ac:dyDescent="0.25">
      <c r="A26" s="22" t="s">
        <v>37</v>
      </c>
      <c r="B26" s="33">
        <v>0.2</v>
      </c>
      <c r="C26" s="23">
        <v>0.2</v>
      </c>
      <c r="D26" s="23">
        <v>0.21099999999999999</v>
      </c>
      <c r="E26" s="23">
        <v>3.28</v>
      </c>
      <c r="F26" s="23">
        <f t="shared" si="0"/>
        <v>1</v>
      </c>
      <c r="G26" s="23">
        <f t="shared" si="1"/>
        <v>4.1656486068000001E-3</v>
      </c>
      <c r="H26" s="23">
        <f t="shared" si="2"/>
        <v>2.6035303792499999E-2</v>
      </c>
      <c r="I26" s="23">
        <f t="shared" si="3"/>
        <v>12.339006536729858</v>
      </c>
      <c r="J26" s="23">
        <f t="shared" si="4"/>
        <v>2.467801307345972E-2</v>
      </c>
      <c r="K26" s="34">
        <f t="shared" si="5"/>
        <v>12.339006536729858</v>
      </c>
    </row>
    <row r="27" spans="1:11" x14ac:dyDescent="0.2">
      <c r="A27" s="40" t="s">
        <v>38</v>
      </c>
      <c r="B27" s="29">
        <v>0.2</v>
      </c>
      <c r="C27" s="30">
        <v>0.2</v>
      </c>
      <c r="D27" s="30">
        <v>0.188</v>
      </c>
      <c r="E27" s="30">
        <v>3.04</v>
      </c>
      <c r="F27" s="30">
        <f t="shared" si="0"/>
        <v>1</v>
      </c>
      <c r="G27" s="30">
        <f t="shared" si="1"/>
        <v>3.8301601284000007E-3</v>
      </c>
      <c r="H27" s="30">
        <f t="shared" si="2"/>
        <v>2.3938500802500005E-2</v>
      </c>
      <c r="I27" s="30">
        <f t="shared" si="3"/>
        <v>12.733245107712769</v>
      </c>
      <c r="J27" s="30">
        <f t="shared" si="4"/>
        <v>2.5466490215425536E-2</v>
      </c>
      <c r="K27" s="31">
        <f t="shared" si="5"/>
        <v>12.733245107712769</v>
      </c>
    </row>
    <row r="28" spans="1:11" x14ac:dyDescent="0.2">
      <c r="A28" s="20" t="s">
        <v>39</v>
      </c>
      <c r="B28" s="13">
        <v>0.2</v>
      </c>
      <c r="C28" s="12">
        <v>0.2</v>
      </c>
      <c r="D28" s="12">
        <v>0.20100000000000001</v>
      </c>
      <c r="E28" s="12">
        <v>3.29</v>
      </c>
      <c r="F28" s="12">
        <f t="shared" si="0"/>
        <v>1</v>
      </c>
      <c r="G28" s="12">
        <f t="shared" si="1"/>
        <v>4.1796272934000005E-3</v>
      </c>
      <c r="H28" s="12">
        <f t="shared" si="2"/>
        <v>2.6122670583750004E-2</v>
      </c>
      <c r="I28" s="12">
        <f t="shared" si="3"/>
        <v>12.996353524253731</v>
      </c>
      <c r="J28" s="12">
        <f t="shared" si="4"/>
        <v>2.5992707048507466E-2</v>
      </c>
      <c r="K28" s="19">
        <f t="shared" si="5"/>
        <v>12.996353524253731</v>
      </c>
    </row>
    <row r="29" spans="1:11" ht="16" thickBot="1" x14ac:dyDescent="0.25">
      <c r="A29" s="39" t="s">
        <v>40</v>
      </c>
      <c r="B29" s="36">
        <v>0.2</v>
      </c>
      <c r="C29" s="37">
        <v>0.2</v>
      </c>
      <c r="D29" s="37">
        <v>0.215</v>
      </c>
      <c r="E29" s="37">
        <v>3.65</v>
      </c>
      <c r="F29" s="37">
        <f t="shared" si="0"/>
        <v>1</v>
      </c>
      <c r="G29" s="37">
        <f t="shared" si="1"/>
        <v>4.6828600110000009E-3</v>
      </c>
      <c r="H29" s="37">
        <f t="shared" si="2"/>
        <v>2.9267875068750004E-2</v>
      </c>
      <c r="I29" s="37">
        <f t="shared" si="3"/>
        <v>13.612965148255816</v>
      </c>
      <c r="J29" s="37">
        <f t="shared" si="4"/>
        <v>2.7225930296511634E-2</v>
      </c>
      <c r="K29" s="38">
        <f t="shared" si="5"/>
        <v>13.612965148255816</v>
      </c>
    </row>
    <row r="30" spans="1:11" x14ac:dyDescent="0.2">
      <c r="A30" s="41" t="s">
        <v>41</v>
      </c>
      <c r="B30" s="15">
        <v>0.2</v>
      </c>
      <c r="C30" s="16">
        <v>0.2</v>
      </c>
      <c r="D30" s="16">
        <v>0.21099999999999999</v>
      </c>
      <c r="E30" s="16">
        <v>4.22</v>
      </c>
      <c r="F30" s="16">
        <f t="shared" si="0"/>
        <v>1</v>
      </c>
      <c r="G30" s="16">
        <f t="shared" si="1"/>
        <v>5.4796451472000005E-3</v>
      </c>
      <c r="H30" s="16">
        <f t="shared" si="2"/>
        <v>3.4247782170000005E-2</v>
      </c>
      <c r="I30" s="16">
        <f t="shared" si="3"/>
        <v>16.231176383886257</v>
      </c>
      <c r="J30" s="16">
        <f t="shared" si="4"/>
        <v>3.2462352767772519E-2</v>
      </c>
      <c r="K30" s="17">
        <f t="shared" si="5"/>
        <v>16.231176383886257</v>
      </c>
    </row>
    <row r="31" spans="1:11" x14ac:dyDescent="0.2">
      <c r="A31" s="20" t="s">
        <v>42</v>
      </c>
      <c r="B31" s="13">
        <v>0.2</v>
      </c>
      <c r="C31" s="12">
        <v>0.2</v>
      </c>
      <c r="D31" s="12">
        <v>0.19900000000000001</v>
      </c>
      <c r="E31" s="12">
        <v>3.58</v>
      </c>
      <c r="F31" s="12">
        <f t="shared" si="0"/>
        <v>1</v>
      </c>
      <c r="G31" s="12">
        <f t="shared" si="1"/>
        <v>4.5850092048000009E-3</v>
      </c>
      <c r="H31" s="12">
        <f t="shared" si="2"/>
        <v>2.8656307530000005E-2</v>
      </c>
      <c r="I31" s="12">
        <f t="shared" si="3"/>
        <v>14.400154537688445</v>
      </c>
      <c r="J31" s="12">
        <f t="shared" si="4"/>
        <v>2.8800309075376885E-2</v>
      </c>
      <c r="K31" s="19">
        <f t="shared" si="5"/>
        <v>14.400154537688442</v>
      </c>
    </row>
    <row r="32" spans="1:11" ht="16" thickBot="1" x14ac:dyDescent="0.25">
      <c r="A32" s="22" t="s">
        <v>43</v>
      </c>
      <c r="B32" s="33">
        <v>0.2</v>
      </c>
      <c r="C32" s="23">
        <v>0.2</v>
      </c>
      <c r="D32" s="23">
        <v>0.20399999999999999</v>
      </c>
      <c r="E32" s="23">
        <v>3.6</v>
      </c>
      <c r="F32" s="23">
        <f t="shared" si="0"/>
        <v>1</v>
      </c>
      <c r="G32" s="23">
        <f t="shared" si="1"/>
        <v>4.6129665780000008E-3</v>
      </c>
      <c r="H32" s="23">
        <f t="shared" si="2"/>
        <v>2.8831041112500004E-2</v>
      </c>
      <c r="I32" s="23">
        <f t="shared" si="3"/>
        <v>14.132863290441181</v>
      </c>
      <c r="J32" s="23">
        <f t="shared" si="4"/>
        <v>2.8265726580882358E-2</v>
      </c>
      <c r="K32" s="34">
        <f t="shared" si="5"/>
        <v>14.132863290441177</v>
      </c>
    </row>
    <row r="33" spans="1:11" x14ac:dyDescent="0.2">
      <c r="A33" s="40" t="s">
        <v>44</v>
      </c>
      <c r="B33" s="29">
        <v>0.2</v>
      </c>
      <c r="C33" s="30">
        <v>0.2</v>
      </c>
      <c r="D33" s="30">
        <v>0.19700000000000001</v>
      </c>
      <c r="E33" s="30">
        <v>3.69</v>
      </c>
      <c r="F33" s="30">
        <f t="shared" si="0"/>
        <v>1</v>
      </c>
      <c r="G33" s="30">
        <f t="shared" si="1"/>
        <v>4.7387747573999998E-3</v>
      </c>
      <c r="H33" s="30">
        <f t="shared" si="2"/>
        <v>2.961734223375E-2</v>
      </c>
      <c r="I33" s="30">
        <f t="shared" si="3"/>
        <v>15.034183874999998</v>
      </c>
      <c r="J33" s="30">
        <f t="shared" si="4"/>
        <v>3.0068367749999998E-2</v>
      </c>
      <c r="K33" s="31">
        <f t="shared" si="5"/>
        <v>15.034183874999998</v>
      </c>
    </row>
    <row r="34" spans="1:11" x14ac:dyDescent="0.2">
      <c r="A34" s="21" t="s">
        <v>45</v>
      </c>
      <c r="B34" s="13">
        <v>0.2</v>
      </c>
      <c r="C34" s="12">
        <v>0.2</v>
      </c>
      <c r="D34" s="12">
        <v>0.2</v>
      </c>
      <c r="E34" s="12">
        <v>3.98</v>
      </c>
      <c r="F34" s="12">
        <f t="shared" si="0"/>
        <v>1</v>
      </c>
      <c r="G34" s="12">
        <f t="shared" si="1"/>
        <v>5.1441566688000002E-3</v>
      </c>
      <c r="H34" s="12">
        <f t="shared" si="2"/>
        <v>3.2150979180000004E-2</v>
      </c>
      <c r="I34" s="12">
        <f t="shared" si="3"/>
        <v>16.07548959</v>
      </c>
      <c r="J34" s="12">
        <f t="shared" si="4"/>
        <v>3.2150979180000004E-2</v>
      </c>
      <c r="K34" s="19">
        <f t="shared" si="5"/>
        <v>16.07548959</v>
      </c>
    </row>
    <row r="35" spans="1:11" ht="16" thickBot="1" x14ac:dyDescent="0.25">
      <c r="A35" s="39" t="s">
        <v>46</v>
      </c>
      <c r="B35" s="36">
        <v>0.2</v>
      </c>
      <c r="C35" s="37">
        <v>0.2</v>
      </c>
      <c r="D35" s="37">
        <v>0.22</v>
      </c>
      <c r="E35" s="37">
        <v>3.8</v>
      </c>
      <c r="F35" s="37">
        <f t="shared" si="0"/>
        <v>1</v>
      </c>
      <c r="G35" s="37">
        <f t="shared" si="1"/>
        <v>4.8925403099999995E-3</v>
      </c>
      <c r="H35" s="37">
        <f t="shared" si="2"/>
        <v>3.0578376937499999E-2</v>
      </c>
      <c r="I35" s="37">
        <f t="shared" si="3"/>
        <v>13.89926224431818</v>
      </c>
      <c r="J35" s="37">
        <f t="shared" si="4"/>
        <v>2.7798524488636366E-2</v>
      </c>
      <c r="K35" s="38">
        <f t="shared" si="5"/>
        <v>13.89926224431818</v>
      </c>
    </row>
    <row r="36" spans="1:11" x14ac:dyDescent="0.2">
      <c r="A36" s="14" t="s">
        <v>47</v>
      </c>
      <c r="B36" s="15">
        <v>0.2</v>
      </c>
      <c r="C36" s="16">
        <v>0.2</v>
      </c>
      <c r="D36" s="16">
        <v>0.21299999999999999</v>
      </c>
      <c r="E36" s="16">
        <v>3.68</v>
      </c>
      <c r="F36" s="16">
        <f t="shared" si="0"/>
        <v>1</v>
      </c>
      <c r="G36" s="16">
        <f t="shared" si="1"/>
        <v>4.7247960708000003E-3</v>
      </c>
      <c r="H36" s="16">
        <f t="shared" si="2"/>
        <v>2.9529975442500002E-2</v>
      </c>
      <c r="I36" s="16">
        <f t="shared" si="3"/>
        <v>13.863838235915493</v>
      </c>
      <c r="J36" s="16">
        <f t="shared" si="4"/>
        <v>2.7727676471830991E-2</v>
      </c>
      <c r="K36" s="17">
        <f t="shared" si="5"/>
        <v>13.863838235915493</v>
      </c>
    </row>
    <row r="37" spans="1:11" x14ac:dyDescent="0.2">
      <c r="A37" s="18" t="s">
        <v>48</v>
      </c>
      <c r="B37" s="13">
        <v>0.2</v>
      </c>
      <c r="C37" s="12">
        <v>0.2</v>
      </c>
      <c r="D37" s="12">
        <v>0.2</v>
      </c>
      <c r="E37" s="12">
        <v>3.52</v>
      </c>
      <c r="F37" s="12">
        <f t="shared" si="0"/>
        <v>1</v>
      </c>
      <c r="G37" s="12">
        <f t="shared" si="1"/>
        <v>4.5011370852000004E-3</v>
      </c>
      <c r="H37" s="12">
        <f t="shared" si="2"/>
        <v>2.8132106782500003E-2</v>
      </c>
      <c r="I37" s="12">
        <f t="shared" si="3"/>
        <v>14.06605339125</v>
      </c>
      <c r="J37" s="12">
        <f t="shared" si="4"/>
        <v>2.8132106782500003E-2</v>
      </c>
      <c r="K37" s="19">
        <f t="shared" si="5"/>
        <v>14.06605339125</v>
      </c>
    </row>
    <row r="38" spans="1:11" ht="16" thickBot="1" x14ac:dyDescent="0.25">
      <c r="A38" s="32" t="s">
        <v>49</v>
      </c>
      <c r="B38" s="33">
        <v>0.2</v>
      </c>
      <c r="C38" s="23">
        <v>0.2</v>
      </c>
      <c r="D38" s="23">
        <v>0.215</v>
      </c>
      <c r="E38" s="23">
        <v>3.81</v>
      </c>
      <c r="F38" s="23">
        <f t="shared" si="0"/>
        <v>1</v>
      </c>
      <c r="G38" s="23">
        <f t="shared" si="1"/>
        <v>4.9065189966000008E-3</v>
      </c>
      <c r="H38" s="23">
        <f t="shared" si="2"/>
        <v>3.0665743728750004E-2</v>
      </c>
      <c r="I38" s="23">
        <f t="shared" si="3"/>
        <v>14.263136618023259</v>
      </c>
      <c r="J38" s="23">
        <f t="shared" si="4"/>
        <v>2.8526273236046517E-2</v>
      </c>
      <c r="K38" s="34">
        <f t="shared" si="5"/>
        <v>14.263136618023259</v>
      </c>
    </row>
    <row r="39" spans="1:11" x14ac:dyDescent="0.2">
      <c r="A39" s="28" t="s">
        <v>50</v>
      </c>
      <c r="B39" s="29">
        <v>0.2</v>
      </c>
      <c r="C39" s="30">
        <v>0.2</v>
      </c>
      <c r="D39" s="30">
        <v>0.183</v>
      </c>
      <c r="E39" s="30">
        <v>3.36</v>
      </c>
      <c r="F39" s="30">
        <f t="shared" si="0"/>
        <v>1</v>
      </c>
      <c r="G39" s="30">
        <f t="shared" si="1"/>
        <v>4.2774780996000005E-3</v>
      </c>
      <c r="H39" s="30">
        <f t="shared" si="2"/>
        <v>2.6734238122500004E-2</v>
      </c>
      <c r="I39" s="30">
        <f t="shared" si="3"/>
        <v>14.60887329098361</v>
      </c>
      <c r="J39" s="30">
        <f t="shared" si="4"/>
        <v>2.921774658196722E-2</v>
      </c>
      <c r="K39" s="31">
        <f t="shared" si="5"/>
        <v>14.60887329098361</v>
      </c>
    </row>
    <row r="40" spans="1:11" x14ac:dyDescent="0.2">
      <c r="A40" s="18" t="s">
        <v>51</v>
      </c>
      <c r="B40" s="13">
        <v>0.2</v>
      </c>
      <c r="C40" s="12">
        <v>0.2</v>
      </c>
      <c r="D40" s="12">
        <v>0.20100000000000001</v>
      </c>
      <c r="E40" s="12">
        <v>3.6</v>
      </c>
      <c r="F40" s="12">
        <f t="shared" si="0"/>
        <v>1</v>
      </c>
      <c r="G40" s="12">
        <f t="shared" si="1"/>
        <v>4.6129665780000008E-3</v>
      </c>
      <c r="H40" s="12">
        <f t="shared" si="2"/>
        <v>2.8831041112500004E-2</v>
      </c>
      <c r="I40" s="12">
        <f t="shared" si="3"/>
        <v>14.343801548507464</v>
      </c>
      <c r="J40" s="12">
        <f t="shared" si="4"/>
        <v>2.868760309701493E-2</v>
      </c>
      <c r="K40" s="19">
        <f t="shared" si="5"/>
        <v>14.343801548507464</v>
      </c>
    </row>
    <row r="41" spans="1:11" ht="16" thickBot="1" x14ac:dyDescent="0.25">
      <c r="A41" s="35" t="s">
        <v>52</v>
      </c>
      <c r="B41" s="36">
        <v>0.2</v>
      </c>
      <c r="C41" s="37">
        <v>0.2</v>
      </c>
      <c r="D41" s="37">
        <v>0.2</v>
      </c>
      <c r="E41" s="37">
        <v>3.69</v>
      </c>
      <c r="F41" s="37">
        <f t="shared" si="0"/>
        <v>1</v>
      </c>
      <c r="G41" s="37">
        <f t="shared" si="1"/>
        <v>4.7387747573999998E-3</v>
      </c>
      <c r="H41" s="37">
        <f t="shared" si="2"/>
        <v>2.961734223375E-2</v>
      </c>
      <c r="I41" s="37">
        <f t="shared" si="3"/>
        <v>14.808671116874999</v>
      </c>
      <c r="J41" s="37">
        <f t="shared" si="4"/>
        <v>2.961734223375E-2</v>
      </c>
      <c r="K41" s="38">
        <f t="shared" si="5"/>
        <v>14.808671116874999</v>
      </c>
    </row>
    <row r="42" spans="1:11" x14ac:dyDescent="0.2">
      <c r="A42" s="14" t="s">
        <v>53</v>
      </c>
      <c r="B42" s="15">
        <v>0.2</v>
      </c>
      <c r="C42" s="16">
        <v>0.2</v>
      </c>
      <c r="D42" s="16">
        <v>0.21</v>
      </c>
      <c r="E42" s="16">
        <v>3.2</v>
      </c>
      <c r="F42" s="16">
        <f t="shared" si="0"/>
        <v>1</v>
      </c>
      <c r="G42" s="16">
        <f t="shared" si="1"/>
        <v>4.0538191140000006E-3</v>
      </c>
      <c r="H42" s="16">
        <f t="shared" si="2"/>
        <v>2.5336369462500005E-2</v>
      </c>
      <c r="I42" s="16">
        <f t="shared" si="3"/>
        <v>12.064937839285717</v>
      </c>
      <c r="J42" s="16">
        <f t="shared" si="4"/>
        <v>2.4129875678571434E-2</v>
      </c>
      <c r="K42" s="17">
        <f t="shared" si="5"/>
        <v>12.064937839285717</v>
      </c>
    </row>
    <row r="43" spans="1:11" x14ac:dyDescent="0.2">
      <c r="A43" s="18" t="s">
        <v>54</v>
      </c>
      <c r="B43" s="13">
        <v>0.2</v>
      </c>
      <c r="C43" s="12">
        <v>0.2</v>
      </c>
      <c r="D43" s="12">
        <v>0.20100000000000001</v>
      </c>
      <c r="E43" s="12">
        <v>2.81</v>
      </c>
      <c r="F43" s="12">
        <f t="shared" si="0"/>
        <v>1</v>
      </c>
      <c r="G43" s="12">
        <f t="shared" si="1"/>
        <v>3.5086503366000008E-3</v>
      </c>
      <c r="H43" s="12">
        <f t="shared" si="2"/>
        <v>2.1929064603750006E-2</v>
      </c>
      <c r="I43" s="12">
        <f t="shared" si="3"/>
        <v>10.909982389925375</v>
      </c>
      <c r="J43" s="12">
        <f t="shared" si="4"/>
        <v>2.1819964779850754E-2</v>
      </c>
      <c r="K43" s="19">
        <f t="shared" si="5"/>
        <v>10.909982389925377</v>
      </c>
    </row>
    <row r="44" spans="1:11" ht="16" thickBot="1" x14ac:dyDescent="0.25">
      <c r="A44" s="32" t="s">
        <v>55</v>
      </c>
      <c r="B44" s="33">
        <v>0.2</v>
      </c>
      <c r="C44" s="23">
        <v>0.2</v>
      </c>
      <c r="D44" s="23">
        <v>0.20100000000000001</v>
      </c>
      <c r="E44" s="23">
        <v>2.95</v>
      </c>
      <c r="F44" s="23">
        <f t="shared" si="0"/>
        <v>1</v>
      </c>
      <c r="G44" s="23">
        <f t="shared" si="1"/>
        <v>3.7043519490000008E-3</v>
      </c>
      <c r="H44" s="23">
        <f t="shared" si="2"/>
        <v>2.3152199681250006E-2</v>
      </c>
      <c r="I44" s="23">
        <f t="shared" si="3"/>
        <v>11.51850730410448</v>
      </c>
      <c r="J44" s="23">
        <f t="shared" si="4"/>
        <v>2.303701460820896E-2</v>
      </c>
      <c r="K44" s="34">
        <f t="shared" si="5"/>
        <v>11.51850730410448</v>
      </c>
    </row>
    <row r="45" spans="1:11" x14ac:dyDescent="0.2">
      <c r="A45" s="28" t="s">
        <v>56</v>
      </c>
      <c r="B45" s="29">
        <v>0.2</v>
      </c>
      <c r="C45" s="30">
        <v>0.2</v>
      </c>
      <c r="D45" s="30">
        <v>0.21099999999999999</v>
      </c>
      <c r="E45" s="30">
        <v>4.2699999999999996</v>
      </c>
      <c r="F45" s="30">
        <f t="shared" si="0"/>
        <v>1</v>
      </c>
      <c r="G45" s="30">
        <f t="shared" si="1"/>
        <v>5.5495385801999997E-3</v>
      </c>
      <c r="H45" s="30">
        <f t="shared" si="2"/>
        <v>3.4684616126249998E-2</v>
      </c>
      <c r="I45" s="30">
        <f t="shared" si="3"/>
        <v>16.438206694905215</v>
      </c>
      <c r="J45" s="30">
        <f t="shared" si="4"/>
        <v>3.2876413389810427E-2</v>
      </c>
      <c r="K45" s="31">
        <f t="shared" si="5"/>
        <v>16.438206694905215</v>
      </c>
    </row>
    <row r="46" spans="1:11" x14ac:dyDescent="0.2">
      <c r="A46" s="18" t="s">
        <v>57</v>
      </c>
      <c r="B46" s="13">
        <v>0.2</v>
      </c>
      <c r="C46" s="12">
        <v>0.2</v>
      </c>
      <c r="D46" s="12">
        <v>0.2</v>
      </c>
      <c r="E46" s="12">
        <v>4.03</v>
      </c>
      <c r="F46" s="12">
        <f t="shared" si="0"/>
        <v>1</v>
      </c>
      <c r="G46" s="12">
        <f t="shared" si="1"/>
        <v>5.2140501018000003E-3</v>
      </c>
      <c r="H46" s="12">
        <f t="shared" si="2"/>
        <v>3.2587813136250005E-2</v>
      </c>
      <c r="I46" s="12">
        <f t="shared" si="3"/>
        <v>16.293906568125003</v>
      </c>
      <c r="J46" s="12">
        <f t="shared" si="4"/>
        <v>3.2587813136250005E-2</v>
      </c>
      <c r="K46" s="19">
        <f t="shared" si="5"/>
        <v>16.293906568125003</v>
      </c>
    </row>
    <row r="47" spans="1:11" ht="16" thickBot="1" x14ac:dyDescent="0.25">
      <c r="A47" s="35" t="s">
        <v>58</v>
      </c>
      <c r="B47" s="36">
        <v>0.2</v>
      </c>
      <c r="C47" s="37">
        <v>0.2</v>
      </c>
      <c r="D47" s="37">
        <v>0.20200000000000001</v>
      </c>
      <c r="E47" s="37">
        <v>3.99</v>
      </c>
      <c r="F47" s="37">
        <f t="shared" si="0"/>
        <v>1</v>
      </c>
      <c r="G47" s="37">
        <f t="shared" si="1"/>
        <v>5.1581353554000006E-3</v>
      </c>
      <c r="H47" s="37">
        <f t="shared" si="2"/>
        <v>3.2238345971250006E-2</v>
      </c>
      <c r="I47" s="37">
        <f t="shared" si="3"/>
        <v>15.9595772134901</v>
      </c>
      <c r="J47" s="37">
        <f t="shared" si="4"/>
        <v>3.1919154426980206E-2</v>
      </c>
      <c r="K47" s="38">
        <f t="shared" si="5"/>
        <v>15.959577213490103</v>
      </c>
    </row>
    <row r="48" spans="1:11" x14ac:dyDescent="0.2">
      <c r="A48" s="14" t="s">
        <v>59</v>
      </c>
      <c r="B48" s="15">
        <v>0.2</v>
      </c>
      <c r="C48" s="16">
        <v>0.2</v>
      </c>
      <c r="D48" s="16">
        <v>0.20599999999999999</v>
      </c>
      <c r="E48" s="16">
        <v>3.21</v>
      </c>
      <c r="F48" s="16">
        <f t="shared" si="0"/>
        <v>1</v>
      </c>
      <c r="G48" s="16">
        <f t="shared" si="1"/>
        <v>4.0677978006000001E-3</v>
      </c>
      <c r="H48" s="16">
        <f t="shared" si="2"/>
        <v>2.5423736253749999E-2</v>
      </c>
      <c r="I48" s="16">
        <f t="shared" si="3"/>
        <v>12.341619540655339</v>
      </c>
      <c r="J48" s="16">
        <f t="shared" si="4"/>
        <v>2.4683239081310683E-2</v>
      </c>
      <c r="K48" s="17">
        <f t="shared" si="5"/>
        <v>12.341619540655341</v>
      </c>
    </row>
    <row r="49" spans="1:11" x14ac:dyDescent="0.2">
      <c r="A49" s="20" t="s">
        <v>60</v>
      </c>
      <c r="B49" s="13">
        <v>0.2</v>
      </c>
      <c r="C49" s="12">
        <v>0.2</v>
      </c>
      <c r="D49" s="12">
        <v>0.2</v>
      </c>
      <c r="E49" s="12">
        <v>3.21</v>
      </c>
      <c r="F49" s="12">
        <f t="shared" si="0"/>
        <v>1</v>
      </c>
      <c r="G49" s="12">
        <f t="shared" si="1"/>
        <v>4.0677978006000001E-3</v>
      </c>
      <c r="H49" s="12">
        <f t="shared" si="2"/>
        <v>2.5423736253749999E-2</v>
      </c>
      <c r="I49" s="12">
        <f t="shared" si="3"/>
        <v>12.711868126874998</v>
      </c>
      <c r="J49" s="12">
        <f t="shared" si="4"/>
        <v>2.5423736253749999E-2</v>
      </c>
      <c r="K49" s="19">
        <f t="shared" si="5"/>
        <v>12.711868126874998</v>
      </c>
    </row>
    <row r="50" spans="1:11" ht="16" thickBot="1" x14ac:dyDescent="0.25">
      <c r="A50" s="22" t="s">
        <v>61</v>
      </c>
      <c r="B50" s="33">
        <v>0.2</v>
      </c>
      <c r="C50" s="23">
        <v>0.2</v>
      </c>
      <c r="D50" s="23">
        <v>0.20300000000000001</v>
      </c>
      <c r="E50" s="23">
        <v>3.24</v>
      </c>
      <c r="F50" s="23">
        <f t="shared" si="0"/>
        <v>1</v>
      </c>
      <c r="G50" s="23">
        <f t="shared" si="1"/>
        <v>4.1097338604000012E-3</v>
      </c>
      <c r="H50" s="23">
        <f t="shared" si="2"/>
        <v>2.5685836627500007E-2</v>
      </c>
      <c r="I50" s="23">
        <f t="shared" si="3"/>
        <v>12.653121491379313</v>
      </c>
      <c r="J50" s="23">
        <f t="shared" si="4"/>
        <v>2.5306242982758628E-2</v>
      </c>
      <c r="K50" s="34">
        <f t="shared" si="5"/>
        <v>12.653121491379313</v>
      </c>
    </row>
    <row r="51" spans="1:11" x14ac:dyDescent="0.2">
      <c r="A51" s="40" t="s">
        <v>62</v>
      </c>
      <c r="B51" s="29">
        <v>0.2</v>
      </c>
      <c r="C51" s="30">
        <v>0.2</v>
      </c>
      <c r="D51" s="30">
        <v>0.19800000000000001</v>
      </c>
      <c r="E51" s="30">
        <v>4.24</v>
      </c>
      <c r="F51" s="30">
        <f t="shared" si="0"/>
        <v>1</v>
      </c>
      <c r="G51" s="30">
        <f t="shared" si="1"/>
        <v>5.5076025204000003E-3</v>
      </c>
      <c r="H51" s="30">
        <f t="shared" si="2"/>
        <v>3.4422515752500001E-2</v>
      </c>
      <c r="I51" s="30">
        <f t="shared" si="3"/>
        <v>17.38510896590909</v>
      </c>
      <c r="J51" s="30">
        <f t="shared" si="4"/>
        <v>3.4770217931818184E-2</v>
      </c>
      <c r="K51" s="31">
        <f t="shared" si="5"/>
        <v>17.38510896590909</v>
      </c>
    </row>
    <row r="52" spans="1:11" x14ac:dyDescent="0.2">
      <c r="A52" s="20" t="s">
        <v>63</v>
      </c>
      <c r="B52" s="13">
        <v>0.2</v>
      </c>
      <c r="C52" s="12">
        <v>0.2</v>
      </c>
      <c r="D52" s="12">
        <v>0.20100000000000001</v>
      </c>
      <c r="E52" s="12">
        <v>4.3</v>
      </c>
      <c r="F52" s="12">
        <f t="shared" si="0"/>
        <v>1</v>
      </c>
      <c r="G52" s="12">
        <f t="shared" si="1"/>
        <v>5.59147464E-3</v>
      </c>
      <c r="H52" s="12">
        <f t="shared" si="2"/>
        <v>3.4946716500000002E-2</v>
      </c>
      <c r="I52" s="12">
        <f t="shared" si="3"/>
        <v>17.386426119402984</v>
      </c>
      <c r="J52" s="12">
        <f t="shared" si="4"/>
        <v>3.4772852238805975E-2</v>
      </c>
      <c r="K52" s="19">
        <f t="shared" si="5"/>
        <v>17.386426119402987</v>
      </c>
    </row>
    <row r="53" spans="1:11" ht="16" thickBot="1" x14ac:dyDescent="0.25">
      <c r="A53" s="39" t="s">
        <v>64</v>
      </c>
      <c r="B53" s="36">
        <v>0.2</v>
      </c>
      <c r="C53" s="37">
        <v>0.2</v>
      </c>
      <c r="D53" s="37">
        <v>0.20499999999999999</v>
      </c>
      <c r="E53" s="37">
        <v>4.38</v>
      </c>
      <c r="F53" s="37">
        <f t="shared" si="0"/>
        <v>1</v>
      </c>
      <c r="G53" s="37">
        <f t="shared" si="1"/>
        <v>5.7033041328000003E-3</v>
      </c>
      <c r="H53" s="37">
        <f t="shared" si="2"/>
        <v>3.564565083E-2</v>
      </c>
      <c r="I53" s="37">
        <f t="shared" si="3"/>
        <v>17.388122356097561</v>
      </c>
      <c r="J53" s="37">
        <f t="shared" si="4"/>
        <v>3.4776244712195127E-2</v>
      </c>
      <c r="K53" s="38">
        <f t="shared" si="5"/>
        <v>17.388122356097561</v>
      </c>
    </row>
    <row r="54" spans="1:11" x14ac:dyDescent="0.2">
      <c r="A54" s="41" t="s">
        <v>65</v>
      </c>
      <c r="B54" s="15">
        <v>0.2</v>
      </c>
      <c r="C54" s="16">
        <v>0.2</v>
      </c>
      <c r="D54" s="16">
        <v>0.215</v>
      </c>
      <c r="E54" s="16">
        <v>3.45</v>
      </c>
      <c r="F54" s="16">
        <f t="shared" si="0"/>
        <v>1</v>
      </c>
      <c r="G54" s="16">
        <f t="shared" si="1"/>
        <v>4.4032862790000004E-3</v>
      </c>
      <c r="H54" s="16">
        <f t="shared" si="2"/>
        <v>2.7520539243750003E-2</v>
      </c>
      <c r="I54" s="16">
        <f t="shared" si="3"/>
        <v>12.800250811046512</v>
      </c>
      <c r="J54" s="16">
        <f t="shared" si="4"/>
        <v>2.5600501622093028E-2</v>
      </c>
      <c r="K54" s="17">
        <f t="shared" si="5"/>
        <v>12.800250811046512</v>
      </c>
    </row>
    <row r="55" spans="1:11" x14ac:dyDescent="0.2">
      <c r="A55" s="20" t="s">
        <v>66</v>
      </c>
      <c r="B55" s="13">
        <v>0.2</v>
      </c>
      <c r="C55" s="12">
        <v>0.2</v>
      </c>
      <c r="D55" s="12">
        <v>0.20100000000000001</v>
      </c>
      <c r="E55" s="12">
        <v>3.05</v>
      </c>
      <c r="F55" s="12">
        <f t="shared" si="0"/>
        <v>1</v>
      </c>
      <c r="G55" s="12">
        <f t="shared" si="1"/>
        <v>3.8441388149999998E-3</v>
      </c>
      <c r="H55" s="12">
        <f t="shared" si="2"/>
        <v>2.402586759375E-2</v>
      </c>
      <c r="I55" s="12">
        <f t="shared" si="3"/>
        <v>11.953167957089551</v>
      </c>
      <c r="J55" s="12">
        <f t="shared" si="4"/>
        <v>2.3906335914179105E-2</v>
      </c>
      <c r="K55" s="19">
        <f t="shared" si="5"/>
        <v>11.953167957089551</v>
      </c>
    </row>
    <row r="56" spans="1:11" ht="16" thickBot="1" x14ac:dyDescent="0.25">
      <c r="A56" s="22" t="s">
        <v>67</v>
      </c>
      <c r="B56" s="33">
        <v>0.2</v>
      </c>
      <c r="C56" s="23">
        <v>0.2</v>
      </c>
      <c r="D56" s="23">
        <v>0.20899999999999999</v>
      </c>
      <c r="E56" s="23">
        <v>3.44</v>
      </c>
      <c r="F56" s="23">
        <f t="shared" si="0"/>
        <v>1</v>
      </c>
      <c r="G56" s="23">
        <f t="shared" si="1"/>
        <v>4.3893075924E-3</v>
      </c>
      <c r="H56" s="23">
        <f t="shared" si="2"/>
        <v>2.7433172452500001E-2</v>
      </c>
      <c r="I56" s="23">
        <f t="shared" si="3"/>
        <v>13.125919833732059</v>
      </c>
      <c r="J56" s="23">
        <f t="shared" si="4"/>
        <v>2.6251839667464118E-2</v>
      </c>
      <c r="K56" s="34">
        <f t="shared" si="5"/>
        <v>13.125919833732059</v>
      </c>
    </row>
    <row r="57" spans="1:11" x14ac:dyDescent="0.2">
      <c r="A57" s="40" t="s">
        <v>68</v>
      </c>
      <c r="B57" s="29">
        <v>0.2</v>
      </c>
      <c r="C57" s="30">
        <v>0.2</v>
      </c>
      <c r="D57" s="30">
        <v>0.19700000000000001</v>
      </c>
      <c r="E57" s="30">
        <v>3.41</v>
      </c>
      <c r="F57" s="30">
        <f t="shared" si="0"/>
        <v>1</v>
      </c>
      <c r="G57" s="30">
        <f t="shared" si="1"/>
        <v>4.3473715326000006E-3</v>
      </c>
      <c r="H57" s="30">
        <f t="shared" si="2"/>
        <v>2.7171072078750004E-2</v>
      </c>
      <c r="I57" s="30">
        <f t="shared" si="3"/>
        <v>13.792422375000001</v>
      </c>
      <c r="J57" s="30">
        <f t="shared" si="4"/>
        <v>2.7584844750000004E-2</v>
      </c>
      <c r="K57" s="31">
        <f t="shared" si="5"/>
        <v>13.792422375000001</v>
      </c>
    </row>
    <row r="58" spans="1:11" x14ac:dyDescent="0.2">
      <c r="A58" s="20" t="s">
        <v>69</v>
      </c>
      <c r="B58" s="13">
        <v>0.2</v>
      </c>
      <c r="C58" s="12">
        <v>0.2</v>
      </c>
      <c r="D58" s="12">
        <v>0.20100000000000001</v>
      </c>
      <c r="E58" s="12">
        <v>3.52</v>
      </c>
      <c r="F58" s="12">
        <f t="shared" si="0"/>
        <v>1</v>
      </c>
      <c r="G58" s="12">
        <f t="shared" si="1"/>
        <v>4.5011370852000004E-3</v>
      </c>
      <c r="H58" s="12">
        <f t="shared" si="2"/>
        <v>2.8132106782500003E-2</v>
      </c>
      <c r="I58" s="12">
        <f t="shared" si="3"/>
        <v>13.996073026119404</v>
      </c>
      <c r="J58" s="12">
        <f t="shared" si="4"/>
        <v>2.799214605223881E-2</v>
      </c>
      <c r="K58" s="19">
        <f t="shared" si="5"/>
        <v>13.996073026119404</v>
      </c>
    </row>
    <row r="59" spans="1:11" ht="16" thickBot="1" x14ac:dyDescent="0.25">
      <c r="A59" s="39" t="s">
        <v>70</v>
      </c>
      <c r="B59" s="36">
        <v>0.2</v>
      </c>
      <c r="C59" s="37">
        <v>0.2</v>
      </c>
      <c r="D59" s="37">
        <v>0.20599999999999999</v>
      </c>
      <c r="E59" s="37">
        <v>3.57</v>
      </c>
      <c r="F59" s="37">
        <f t="shared" si="0"/>
        <v>1</v>
      </c>
      <c r="G59" s="37">
        <f t="shared" si="1"/>
        <v>4.5710305181999996E-3</v>
      </c>
      <c r="H59" s="37">
        <f t="shared" si="2"/>
        <v>2.8568940738749996E-2</v>
      </c>
      <c r="I59" s="37">
        <f t="shared" si="3"/>
        <v>13.86841783434466</v>
      </c>
      <c r="J59" s="37">
        <f t="shared" si="4"/>
        <v>2.7736835668689321E-2</v>
      </c>
      <c r="K59" s="38">
        <f t="shared" si="5"/>
        <v>13.86841783434466</v>
      </c>
    </row>
    <row r="60" spans="1:11" x14ac:dyDescent="0.2">
      <c r="A60" s="41" t="s">
        <v>71</v>
      </c>
      <c r="B60" s="15">
        <v>0.2</v>
      </c>
      <c r="C60" s="16">
        <v>0.2</v>
      </c>
      <c r="D60" s="16">
        <v>0.185</v>
      </c>
      <c r="E60" s="16">
        <v>3.71</v>
      </c>
      <c r="F60" s="16">
        <f t="shared" si="0"/>
        <v>1</v>
      </c>
      <c r="G60" s="16">
        <f t="shared" si="1"/>
        <v>4.7667321305999997E-3</v>
      </c>
      <c r="H60" s="16">
        <f t="shared" si="2"/>
        <v>2.9792075816249999E-2</v>
      </c>
      <c r="I60" s="16">
        <f t="shared" si="3"/>
        <v>16.103824765540541</v>
      </c>
      <c r="J60" s="16">
        <f t="shared" si="4"/>
        <v>3.220764953108108E-2</v>
      </c>
      <c r="K60" s="17">
        <f t="shared" si="5"/>
        <v>16.103824765540541</v>
      </c>
    </row>
    <row r="61" spans="1:11" x14ac:dyDescent="0.2">
      <c r="A61" s="20" t="s">
        <v>72</v>
      </c>
      <c r="B61" s="13">
        <v>0.2</v>
      </c>
      <c r="C61" s="12">
        <v>0.2</v>
      </c>
      <c r="D61" s="12">
        <v>0.2</v>
      </c>
      <c r="E61" s="12">
        <v>3.95</v>
      </c>
      <c r="F61" s="12">
        <f t="shared" si="0"/>
        <v>1</v>
      </c>
      <c r="G61" s="12">
        <f t="shared" si="1"/>
        <v>5.1022206090000008E-3</v>
      </c>
      <c r="H61" s="12">
        <f t="shared" si="2"/>
        <v>3.1888878806250007E-2</v>
      </c>
      <c r="I61" s="12">
        <f t="shared" si="3"/>
        <v>15.944439403125003</v>
      </c>
      <c r="J61" s="12">
        <f t="shared" si="4"/>
        <v>3.1888878806250007E-2</v>
      </c>
      <c r="K61" s="19">
        <f t="shared" si="5"/>
        <v>15.944439403125003</v>
      </c>
    </row>
    <row r="62" spans="1:11" ht="16" thickBot="1" x14ac:dyDescent="0.25">
      <c r="A62" s="22" t="s">
        <v>73</v>
      </c>
      <c r="B62" s="33">
        <v>0.2</v>
      </c>
      <c r="C62" s="23">
        <v>0.2</v>
      </c>
      <c r="D62" s="23">
        <v>0.20799999999999999</v>
      </c>
      <c r="E62" s="23">
        <v>4.3</v>
      </c>
      <c r="F62" s="23">
        <f t="shared" si="0"/>
        <v>1</v>
      </c>
      <c r="G62" s="23">
        <f t="shared" si="1"/>
        <v>5.59147464E-3</v>
      </c>
      <c r="H62" s="23">
        <f t="shared" si="2"/>
        <v>3.4946716500000002E-2</v>
      </c>
      <c r="I62" s="23">
        <f t="shared" si="3"/>
        <v>16.801306009615384</v>
      </c>
      <c r="J62" s="23">
        <f t="shared" si="4"/>
        <v>3.3602612019230774E-2</v>
      </c>
      <c r="K62" s="34">
        <f t="shared" si="5"/>
        <v>16.801306009615384</v>
      </c>
    </row>
    <row r="63" spans="1:11" x14ac:dyDescent="0.2">
      <c r="A63" s="40" t="s">
        <v>74</v>
      </c>
      <c r="B63" s="29">
        <v>0.2</v>
      </c>
      <c r="C63" s="30">
        <v>0.2</v>
      </c>
      <c r="D63" s="30">
        <v>0.20100000000000001</v>
      </c>
      <c r="E63" s="30">
        <v>3.64</v>
      </c>
      <c r="F63" s="30">
        <f t="shared" si="0"/>
        <v>1</v>
      </c>
      <c r="G63" s="30">
        <f t="shared" si="1"/>
        <v>4.6688813244000005E-3</v>
      </c>
      <c r="H63" s="30">
        <f t="shared" si="2"/>
        <v>2.9180508277500003E-2</v>
      </c>
      <c r="I63" s="30">
        <f t="shared" si="3"/>
        <v>14.517665809701494</v>
      </c>
      <c r="J63" s="30">
        <f t="shared" si="4"/>
        <v>2.9035331619402988E-2</v>
      </c>
      <c r="K63" s="31">
        <f t="shared" si="5"/>
        <v>14.517665809701494</v>
      </c>
    </row>
    <row r="64" spans="1:11" x14ac:dyDescent="0.2">
      <c r="A64" s="20" t="s">
        <v>75</v>
      </c>
      <c r="B64" s="13">
        <v>0.2</v>
      </c>
      <c r="C64" s="12">
        <v>0.2</v>
      </c>
      <c r="D64" s="12">
        <v>0.20100000000000001</v>
      </c>
      <c r="E64" s="12">
        <v>3.63</v>
      </c>
      <c r="F64" s="12">
        <f t="shared" si="0"/>
        <v>1</v>
      </c>
      <c r="G64" s="12">
        <f t="shared" si="1"/>
        <v>4.6549026378000001E-3</v>
      </c>
      <c r="H64" s="12">
        <f t="shared" si="2"/>
        <v>2.9093141486250002E-2</v>
      </c>
      <c r="I64" s="12">
        <f t="shared" si="3"/>
        <v>14.474199744402986</v>
      </c>
      <c r="J64" s="12">
        <f t="shared" si="4"/>
        <v>2.8948399488805971E-2</v>
      </c>
      <c r="K64" s="19">
        <f t="shared" si="5"/>
        <v>14.474199744402986</v>
      </c>
    </row>
    <row r="65" spans="1:11" ht="16" thickBot="1" x14ac:dyDescent="0.25">
      <c r="A65" s="39" t="s">
        <v>76</v>
      </c>
      <c r="B65" s="36">
        <v>0.2</v>
      </c>
      <c r="C65" s="37">
        <v>0.2</v>
      </c>
      <c r="D65" s="37">
        <v>0.20699999999999999</v>
      </c>
      <c r="E65" s="37">
        <v>3.71</v>
      </c>
      <c r="F65" s="37">
        <f t="shared" si="0"/>
        <v>1</v>
      </c>
      <c r="G65" s="37">
        <f t="shared" si="1"/>
        <v>4.7667321305999997E-3</v>
      </c>
      <c r="H65" s="37">
        <f t="shared" si="2"/>
        <v>2.9792075816249999E-2</v>
      </c>
      <c r="I65" s="37">
        <f t="shared" si="3"/>
        <v>14.392307157608696</v>
      </c>
      <c r="J65" s="37">
        <f t="shared" si="4"/>
        <v>2.8784614315217394E-2</v>
      </c>
      <c r="K65" s="38">
        <f t="shared" si="5"/>
        <v>14.392307157608696</v>
      </c>
    </row>
    <row r="66" spans="1:11" x14ac:dyDescent="0.2">
      <c r="A66" s="41" t="s">
        <v>77</v>
      </c>
      <c r="B66" s="15">
        <v>0.2</v>
      </c>
      <c r="C66" s="16">
        <v>0.2</v>
      </c>
      <c r="D66" s="16">
        <v>0.19700000000000001</v>
      </c>
      <c r="E66" s="16">
        <v>3.83</v>
      </c>
      <c r="F66" s="16">
        <f t="shared" si="0"/>
        <v>1</v>
      </c>
      <c r="G66" s="16">
        <f t="shared" si="1"/>
        <v>4.9344763698000007E-3</v>
      </c>
      <c r="H66" s="16">
        <f t="shared" si="2"/>
        <v>3.0840477311250003E-2</v>
      </c>
      <c r="I66" s="16">
        <f t="shared" si="3"/>
        <v>15.655064625000001</v>
      </c>
      <c r="J66" s="16">
        <f t="shared" si="4"/>
        <v>3.1310129249999999E-2</v>
      </c>
      <c r="K66" s="17">
        <f t="shared" si="5"/>
        <v>15.655064624999998</v>
      </c>
    </row>
    <row r="67" spans="1:11" x14ac:dyDescent="0.2">
      <c r="A67" s="20" t="s">
        <v>78</v>
      </c>
      <c r="B67" s="13">
        <v>0.2</v>
      </c>
      <c r="C67" s="12">
        <v>0.2</v>
      </c>
      <c r="D67" s="12">
        <v>0.20300000000000001</v>
      </c>
      <c r="E67" s="12">
        <v>3.81</v>
      </c>
      <c r="F67" s="12">
        <f t="shared" si="0"/>
        <v>1</v>
      </c>
      <c r="G67" s="12">
        <f t="shared" si="1"/>
        <v>4.9065189966000008E-3</v>
      </c>
      <c r="H67" s="12">
        <f t="shared" si="2"/>
        <v>3.0665743728750004E-2</v>
      </c>
      <c r="I67" s="12">
        <f t="shared" si="3"/>
        <v>15.106277698891626</v>
      </c>
      <c r="J67" s="12">
        <f t="shared" si="4"/>
        <v>3.0212555397783256E-2</v>
      </c>
      <c r="K67" s="19">
        <f t="shared" si="5"/>
        <v>15.106277698891626</v>
      </c>
    </row>
    <row r="68" spans="1:11" ht="16" thickBot="1" x14ac:dyDescent="0.25">
      <c r="A68" s="22" t="s">
        <v>79</v>
      </c>
      <c r="B68" s="33">
        <v>0.2</v>
      </c>
      <c r="C68" s="23">
        <v>0.2</v>
      </c>
      <c r="D68" s="23">
        <v>0.20300000000000001</v>
      </c>
      <c r="E68" s="23">
        <v>3.85</v>
      </c>
      <c r="F68" s="23">
        <f t="shared" si="0"/>
        <v>1</v>
      </c>
      <c r="G68" s="23">
        <f t="shared" si="1"/>
        <v>4.9624337430000005E-3</v>
      </c>
      <c r="H68" s="23">
        <f t="shared" si="2"/>
        <v>3.1015210893750002E-2</v>
      </c>
      <c r="I68" s="23">
        <f t="shared" si="3"/>
        <v>15.278429011699506</v>
      </c>
      <c r="J68" s="23">
        <f t="shared" si="4"/>
        <v>3.0556858023399018E-2</v>
      </c>
      <c r="K68" s="34">
        <f t="shared" si="5"/>
        <v>15.278429011699506</v>
      </c>
    </row>
    <row r="69" spans="1:11" x14ac:dyDescent="0.2">
      <c r="A69" s="40" t="s">
        <v>80</v>
      </c>
      <c r="B69" s="29">
        <v>0.2</v>
      </c>
      <c r="C69" s="30">
        <v>0.2</v>
      </c>
      <c r="D69" s="30">
        <v>0.19</v>
      </c>
      <c r="E69" s="30">
        <v>4.75</v>
      </c>
      <c r="F69" s="30">
        <f t="shared" si="0"/>
        <v>1</v>
      </c>
      <c r="G69" s="30">
        <f t="shared" si="1"/>
        <v>6.2205155370000003E-3</v>
      </c>
      <c r="H69" s="30">
        <f t="shared" si="2"/>
        <v>3.8878222106249999E-2</v>
      </c>
      <c r="I69" s="30">
        <f t="shared" si="3"/>
        <v>20.462222161184211</v>
      </c>
      <c r="J69" s="30">
        <f t="shared" si="4"/>
        <v>4.0924444322368421E-2</v>
      </c>
      <c r="K69" s="31">
        <f t="shared" si="5"/>
        <v>20.462222161184211</v>
      </c>
    </row>
    <row r="70" spans="1:11" x14ac:dyDescent="0.2">
      <c r="A70" s="20" t="s">
        <v>81</v>
      </c>
      <c r="B70" s="13">
        <v>0.2</v>
      </c>
      <c r="C70" s="12">
        <v>0.2</v>
      </c>
      <c r="D70" s="12">
        <v>0.2</v>
      </c>
      <c r="E70" s="12">
        <v>5.33</v>
      </c>
      <c r="F70" s="12">
        <f t="shared" si="0"/>
        <v>1</v>
      </c>
      <c r="G70" s="12">
        <f t="shared" si="1"/>
        <v>7.0312793598000011E-3</v>
      </c>
      <c r="H70" s="12">
        <f t="shared" si="2"/>
        <v>4.3945495998750007E-2</v>
      </c>
      <c r="I70" s="12">
        <f t="shared" si="3"/>
        <v>21.972747999375002</v>
      </c>
      <c r="J70" s="12">
        <f t="shared" si="4"/>
        <v>4.3945495998750007E-2</v>
      </c>
      <c r="K70" s="19">
        <f t="shared" si="5"/>
        <v>21.972747999375002</v>
      </c>
    </row>
    <row r="71" spans="1:11" ht="16" thickBot="1" x14ac:dyDescent="0.25">
      <c r="A71" s="39" t="s">
        <v>82</v>
      </c>
      <c r="B71" s="36">
        <v>0.2</v>
      </c>
      <c r="C71" s="37">
        <v>0.2</v>
      </c>
      <c r="D71" s="37">
        <v>0.20399999999999999</v>
      </c>
      <c r="E71" s="37">
        <v>5.25</v>
      </c>
      <c r="F71" s="37">
        <f t="shared" si="0"/>
        <v>1</v>
      </c>
      <c r="G71" s="37">
        <f t="shared" si="1"/>
        <v>6.9194498670000007E-3</v>
      </c>
      <c r="H71" s="37">
        <f t="shared" si="2"/>
        <v>4.3246561668750003E-2</v>
      </c>
      <c r="I71" s="37">
        <f t="shared" si="3"/>
        <v>21.199294935661765</v>
      </c>
      <c r="J71" s="37">
        <f t="shared" si="4"/>
        <v>4.2398589871323535E-2</v>
      </c>
      <c r="K71" s="38">
        <f t="shared" si="5"/>
        <v>21.199294935661765</v>
      </c>
    </row>
    <row r="72" spans="1:11" x14ac:dyDescent="0.2">
      <c r="A72" s="41" t="s">
        <v>83</v>
      </c>
      <c r="B72" s="15">
        <v>0.2</v>
      </c>
      <c r="C72" s="16">
        <v>0.2</v>
      </c>
      <c r="D72" s="16">
        <v>0.20200000000000001</v>
      </c>
      <c r="E72" s="16">
        <v>3.33</v>
      </c>
      <c r="F72" s="16">
        <f t="shared" si="0"/>
        <v>1</v>
      </c>
      <c r="G72" s="16">
        <f t="shared" si="1"/>
        <v>4.2355420398000011E-3</v>
      </c>
      <c r="H72" s="16">
        <f t="shared" si="2"/>
        <v>2.6472137748750006E-2</v>
      </c>
      <c r="I72" s="16">
        <f t="shared" si="3"/>
        <v>13.105018687500003</v>
      </c>
      <c r="J72" s="16">
        <f t="shared" si="4"/>
        <v>2.6210037375000005E-2</v>
      </c>
      <c r="K72" s="17">
        <f t="shared" si="5"/>
        <v>13.105018687500003</v>
      </c>
    </row>
    <row r="73" spans="1:11" x14ac:dyDescent="0.2">
      <c r="A73" s="20" t="s">
        <v>84</v>
      </c>
      <c r="B73" s="13">
        <v>0.2</v>
      </c>
      <c r="C73" s="12">
        <v>0.2</v>
      </c>
      <c r="D73" s="12">
        <v>0.20100000000000001</v>
      </c>
      <c r="E73" s="12">
        <v>3.31</v>
      </c>
      <c r="F73" s="12">
        <f t="shared" si="0"/>
        <v>1</v>
      </c>
      <c r="G73" s="12">
        <f t="shared" si="1"/>
        <v>4.2075846666000003E-3</v>
      </c>
      <c r="H73" s="12">
        <f t="shared" si="2"/>
        <v>2.6297404166250003E-2</v>
      </c>
      <c r="I73" s="12">
        <f t="shared" si="3"/>
        <v>13.083285654850746</v>
      </c>
      <c r="J73" s="12">
        <f t="shared" si="4"/>
        <v>2.6166571309701497E-2</v>
      </c>
      <c r="K73" s="19">
        <f t="shared" si="5"/>
        <v>13.083285654850748</v>
      </c>
    </row>
    <row r="74" spans="1:11" ht="16" thickBot="1" x14ac:dyDescent="0.25">
      <c r="A74" s="22" t="s">
        <v>85</v>
      </c>
      <c r="B74" s="33">
        <v>0.2</v>
      </c>
      <c r="C74" s="23">
        <v>0.2</v>
      </c>
      <c r="D74" s="23">
        <v>0.20100000000000001</v>
      </c>
      <c r="E74" s="23">
        <v>3.23</v>
      </c>
      <c r="F74" s="23">
        <f t="shared" ref="F74:F98" si="6">C74/B74</f>
        <v>1</v>
      </c>
      <c r="G74" s="23">
        <f t="shared" ref="G74:G98" si="7">((E74-$B$3)*$F$5*$G$2)</f>
        <v>4.0957551738E-3</v>
      </c>
      <c r="H74" s="23">
        <f t="shared" ref="H74:H98" si="8">G74*$C$2</f>
        <v>2.5598469836249998E-2</v>
      </c>
      <c r="I74" s="23">
        <f t="shared" ref="I74:I98" si="9">(H74/D74)*100</f>
        <v>12.735557132462686</v>
      </c>
      <c r="J74" s="23">
        <f t="shared" ref="J74:J98" si="10">((C74/D74)*H74)</f>
        <v>2.5471114264925373E-2</v>
      </c>
      <c r="K74" s="34">
        <f t="shared" ref="K74:K98" si="11">(J74/B74)*100</f>
        <v>12.735557132462686</v>
      </c>
    </row>
    <row r="75" spans="1:11" x14ac:dyDescent="0.2">
      <c r="A75" s="40" t="s">
        <v>86</v>
      </c>
      <c r="B75" s="29">
        <v>0.2</v>
      </c>
      <c r="C75" s="30">
        <v>0.2</v>
      </c>
      <c r="D75" s="30">
        <v>0.20699999999999999</v>
      </c>
      <c r="E75" s="30">
        <v>3.83</v>
      </c>
      <c r="F75" s="30">
        <f t="shared" si="6"/>
        <v>1</v>
      </c>
      <c r="G75" s="30">
        <f t="shared" si="7"/>
        <v>4.9344763698000007E-3</v>
      </c>
      <c r="H75" s="30">
        <f t="shared" si="8"/>
        <v>3.0840477311250003E-2</v>
      </c>
      <c r="I75" s="30">
        <f t="shared" si="9"/>
        <v>14.89878130978261</v>
      </c>
      <c r="J75" s="30">
        <f t="shared" si="10"/>
        <v>2.9797562619565222E-2</v>
      </c>
      <c r="K75" s="31">
        <f t="shared" si="11"/>
        <v>14.89878130978261</v>
      </c>
    </row>
    <row r="76" spans="1:11" x14ac:dyDescent="0.2">
      <c r="A76" s="20" t="s">
        <v>87</v>
      </c>
      <c r="B76" s="13">
        <v>0.2</v>
      </c>
      <c r="C76" s="12">
        <v>0.2</v>
      </c>
      <c r="D76" s="12">
        <v>0.20100000000000001</v>
      </c>
      <c r="E76" s="12">
        <v>4.0199999999999996</v>
      </c>
      <c r="F76" s="12">
        <f t="shared" si="6"/>
        <v>1</v>
      </c>
      <c r="G76" s="12">
        <f t="shared" si="7"/>
        <v>5.2000714151999999E-3</v>
      </c>
      <c r="H76" s="12">
        <f t="shared" si="8"/>
        <v>3.2500446345000003E-2</v>
      </c>
      <c r="I76" s="12">
        <f t="shared" si="9"/>
        <v>16.169376291044777</v>
      </c>
      <c r="J76" s="12">
        <f t="shared" si="10"/>
        <v>3.2338752582089555E-2</v>
      </c>
      <c r="K76" s="19">
        <f t="shared" si="11"/>
        <v>16.169376291044777</v>
      </c>
    </row>
    <row r="77" spans="1:11" ht="16" thickBot="1" x14ac:dyDescent="0.25">
      <c r="A77" s="39" t="s">
        <v>88</v>
      </c>
      <c r="B77" s="36">
        <v>0.2</v>
      </c>
      <c r="C77" s="37">
        <v>0.2</v>
      </c>
      <c r="D77" s="37">
        <v>0.20200000000000001</v>
      </c>
      <c r="E77" s="37">
        <v>3.71</v>
      </c>
      <c r="F77" s="37">
        <f t="shared" si="6"/>
        <v>1</v>
      </c>
      <c r="G77" s="37">
        <f t="shared" si="7"/>
        <v>4.7667321305999997E-3</v>
      </c>
      <c r="H77" s="37">
        <f t="shared" si="8"/>
        <v>2.9792075816249999E-2</v>
      </c>
      <c r="I77" s="37">
        <f t="shared" si="9"/>
        <v>14.748552384282176</v>
      </c>
      <c r="J77" s="37">
        <f t="shared" si="10"/>
        <v>2.9497104768564354E-2</v>
      </c>
      <c r="K77" s="38">
        <f t="shared" si="11"/>
        <v>14.748552384282176</v>
      </c>
    </row>
    <row r="78" spans="1:11" x14ac:dyDescent="0.2">
      <c r="A78" s="41" t="s">
        <v>89</v>
      </c>
      <c r="B78" s="15">
        <v>0.2</v>
      </c>
      <c r="C78" s="16">
        <v>0.2</v>
      </c>
      <c r="D78" s="16">
        <v>0.19600000000000001</v>
      </c>
      <c r="E78" s="16">
        <v>4.1399999999999997</v>
      </c>
      <c r="F78" s="16">
        <f t="shared" si="6"/>
        <v>1</v>
      </c>
      <c r="G78" s="16">
        <f t="shared" si="7"/>
        <v>5.3678156544000001E-3</v>
      </c>
      <c r="H78" s="16">
        <f t="shared" si="8"/>
        <v>3.354884784E-2</v>
      </c>
      <c r="I78" s="16">
        <f t="shared" si="9"/>
        <v>17.116759102040817</v>
      </c>
      <c r="J78" s="16">
        <f t="shared" si="10"/>
        <v>3.4233518204081631E-2</v>
      </c>
      <c r="K78" s="17">
        <f t="shared" si="11"/>
        <v>17.116759102040817</v>
      </c>
    </row>
    <row r="79" spans="1:11" x14ac:dyDescent="0.2">
      <c r="A79" s="20" t="s">
        <v>90</v>
      </c>
      <c r="B79" s="13">
        <v>0.2</v>
      </c>
      <c r="C79" s="12">
        <v>0.2</v>
      </c>
      <c r="D79" s="12">
        <v>0.20200000000000001</v>
      </c>
      <c r="E79" s="12">
        <v>4.51</v>
      </c>
      <c r="F79" s="12">
        <f t="shared" si="6"/>
        <v>1</v>
      </c>
      <c r="G79" s="12">
        <f t="shared" si="7"/>
        <v>5.8850270586E-3</v>
      </c>
      <c r="H79" s="12">
        <f t="shared" si="8"/>
        <v>3.6781419116249998E-2</v>
      </c>
      <c r="I79" s="12">
        <f t="shared" si="9"/>
        <v>18.208623324876235</v>
      </c>
      <c r="J79" s="12">
        <f t="shared" si="10"/>
        <v>3.6417246649752474E-2</v>
      </c>
      <c r="K79" s="19">
        <f t="shared" si="11"/>
        <v>18.208623324876235</v>
      </c>
    </row>
    <row r="80" spans="1:11" ht="16" thickBot="1" x14ac:dyDescent="0.25">
      <c r="A80" s="22" t="s">
        <v>91</v>
      </c>
      <c r="B80" s="33">
        <v>0.2</v>
      </c>
      <c r="C80" s="23">
        <v>0.2</v>
      </c>
      <c r="D80" s="23">
        <v>0.20899999999999999</v>
      </c>
      <c r="E80" s="23">
        <v>4.57</v>
      </c>
      <c r="F80" s="23">
        <f t="shared" si="6"/>
        <v>1</v>
      </c>
      <c r="G80" s="23">
        <f t="shared" si="7"/>
        <v>5.9688991782000005E-3</v>
      </c>
      <c r="H80" s="23">
        <f t="shared" si="8"/>
        <v>3.730561986375E-2</v>
      </c>
      <c r="I80" s="23">
        <f t="shared" si="9"/>
        <v>17.849578882177035</v>
      </c>
      <c r="J80" s="23">
        <f t="shared" si="10"/>
        <v>3.5699157764354068E-2</v>
      </c>
      <c r="K80" s="34">
        <f t="shared" si="11"/>
        <v>17.849578882177035</v>
      </c>
    </row>
    <row r="81" spans="1:11" x14ac:dyDescent="0.2">
      <c r="A81" s="40" t="s">
        <v>92</v>
      </c>
      <c r="B81" s="29">
        <v>0.2</v>
      </c>
      <c r="C81" s="30">
        <v>0.2</v>
      </c>
      <c r="D81" s="30">
        <v>0.215</v>
      </c>
      <c r="E81" s="30">
        <v>3.11</v>
      </c>
      <c r="F81" s="30">
        <f t="shared" si="6"/>
        <v>1</v>
      </c>
      <c r="G81" s="30">
        <f t="shared" si="7"/>
        <v>3.9280109345999998E-3</v>
      </c>
      <c r="H81" s="30">
        <f t="shared" si="8"/>
        <v>2.4550068341249998E-2</v>
      </c>
      <c r="I81" s="30">
        <f t="shared" si="9"/>
        <v>11.418636437790697</v>
      </c>
      <c r="J81" s="30">
        <f t="shared" si="10"/>
        <v>2.2837272875581398E-2</v>
      </c>
      <c r="K81" s="31">
        <f t="shared" si="11"/>
        <v>11.418636437790699</v>
      </c>
    </row>
    <row r="82" spans="1:11" x14ac:dyDescent="0.2">
      <c r="A82" s="20" t="s">
        <v>93</v>
      </c>
      <c r="B82" s="13">
        <v>0.2</v>
      </c>
      <c r="C82" s="12">
        <v>0.2</v>
      </c>
      <c r="D82" s="12">
        <v>0.20300000000000001</v>
      </c>
      <c r="E82" s="12">
        <v>3.11</v>
      </c>
      <c r="F82" s="12">
        <f t="shared" si="6"/>
        <v>1</v>
      </c>
      <c r="G82" s="12">
        <f t="shared" si="7"/>
        <v>3.9280109345999998E-3</v>
      </c>
      <c r="H82" s="12">
        <f t="shared" si="8"/>
        <v>2.4550068341249998E-2</v>
      </c>
      <c r="I82" s="12">
        <f t="shared" si="9"/>
        <v>12.093629724753693</v>
      </c>
      <c r="J82" s="12">
        <f t="shared" si="10"/>
        <v>2.4187259449507389E-2</v>
      </c>
      <c r="K82" s="19">
        <f t="shared" si="11"/>
        <v>12.093629724753693</v>
      </c>
    </row>
    <row r="83" spans="1:11" ht="16" thickBot="1" x14ac:dyDescent="0.25">
      <c r="A83" s="39" t="s">
        <v>94</v>
      </c>
      <c r="B83" s="36">
        <v>0.2</v>
      </c>
      <c r="C83" s="37">
        <v>0.2</v>
      </c>
      <c r="D83" s="37">
        <v>0.20200000000000001</v>
      </c>
      <c r="E83" s="37">
        <v>2.97</v>
      </c>
      <c r="F83" s="37">
        <f t="shared" si="6"/>
        <v>1</v>
      </c>
      <c r="G83" s="37">
        <f t="shared" si="7"/>
        <v>3.7323093222000007E-3</v>
      </c>
      <c r="H83" s="37">
        <f t="shared" si="8"/>
        <v>2.3326933263750006E-2</v>
      </c>
      <c r="I83" s="37">
        <f t="shared" si="9"/>
        <v>11.547986764232675</v>
      </c>
      <c r="J83" s="37">
        <f t="shared" si="10"/>
        <v>2.309597352846535E-2</v>
      </c>
      <c r="K83" s="38">
        <f t="shared" si="11"/>
        <v>11.547986764232675</v>
      </c>
    </row>
    <row r="84" spans="1:11" x14ac:dyDescent="0.2">
      <c r="A84" s="41" t="s">
        <v>95</v>
      </c>
      <c r="B84" s="15">
        <v>0.2</v>
      </c>
      <c r="C84" s="16">
        <v>0.2</v>
      </c>
      <c r="D84" s="16">
        <v>0.19500000000000001</v>
      </c>
      <c r="E84" s="16">
        <v>3.8</v>
      </c>
      <c r="F84" s="16">
        <f t="shared" si="6"/>
        <v>1</v>
      </c>
      <c r="G84" s="16">
        <f t="shared" si="7"/>
        <v>4.8925403099999995E-3</v>
      </c>
      <c r="H84" s="16">
        <f t="shared" si="8"/>
        <v>3.0578376937499999E-2</v>
      </c>
      <c r="I84" s="16">
        <f t="shared" si="9"/>
        <v>15.681218942307689</v>
      </c>
      <c r="J84" s="16">
        <f t="shared" si="10"/>
        <v>3.1362437884615388E-2</v>
      </c>
      <c r="K84" s="17">
        <f t="shared" si="11"/>
        <v>15.681218942307693</v>
      </c>
    </row>
    <row r="85" spans="1:11" x14ac:dyDescent="0.2">
      <c r="A85" s="20" t="s">
        <v>96</v>
      </c>
      <c r="B85" s="13">
        <v>0.2</v>
      </c>
      <c r="C85" s="12">
        <v>0.2</v>
      </c>
      <c r="D85" s="12">
        <v>0.20100000000000001</v>
      </c>
      <c r="E85" s="12">
        <v>4</v>
      </c>
      <c r="F85" s="12">
        <f t="shared" si="6"/>
        <v>1</v>
      </c>
      <c r="G85" s="12">
        <f t="shared" si="7"/>
        <v>5.1721140420000001E-3</v>
      </c>
      <c r="H85" s="12">
        <f t="shared" si="8"/>
        <v>3.23257127625E-2</v>
      </c>
      <c r="I85" s="12">
        <f t="shared" si="9"/>
        <v>16.082444160447761</v>
      </c>
      <c r="J85" s="12">
        <f t="shared" si="10"/>
        <v>3.2164888320895521E-2</v>
      </c>
      <c r="K85" s="19">
        <f t="shared" si="11"/>
        <v>16.082444160447761</v>
      </c>
    </row>
    <row r="86" spans="1:11" ht="16" thickBot="1" x14ac:dyDescent="0.25">
      <c r="A86" s="22" t="s">
        <v>97</v>
      </c>
      <c r="B86" s="33">
        <v>0.2</v>
      </c>
      <c r="C86" s="23">
        <v>0.2</v>
      </c>
      <c r="D86" s="23">
        <v>0.20100000000000001</v>
      </c>
      <c r="E86" s="23">
        <v>3.89</v>
      </c>
      <c r="F86" s="23">
        <f t="shared" si="6"/>
        <v>1</v>
      </c>
      <c r="G86" s="23">
        <f t="shared" si="7"/>
        <v>5.0183484894000003E-3</v>
      </c>
      <c r="H86" s="23">
        <f t="shared" si="8"/>
        <v>3.1364678058750005E-2</v>
      </c>
      <c r="I86" s="23">
        <f t="shared" si="9"/>
        <v>15.604317442164181</v>
      </c>
      <c r="J86" s="23">
        <f t="shared" si="10"/>
        <v>3.1208634884328363E-2</v>
      </c>
      <c r="K86" s="34">
        <f t="shared" si="11"/>
        <v>15.604317442164181</v>
      </c>
    </row>
    <row r="87" spans="1:11" x14ac:dyDescent="0.2">
      <c r="A87" s="40" t="s">
        <v>98</v>
      </c>
      <c r="B87" s="29">
        <v>0.2</v>
      </c>
      <c r="C87" s="30">
        <v>0.2</v>
      </c>
      <c r="D87" s="30">
        <v>0.192</v>
      </c>
      <c r="E87" s="30">
        <v>3.27</v>
      </c>
      <c r="F87" s="30">
        <f t="shared" si="6"/>
        <v>1</v>
      </c>
      <c r="G87" s="30">
        <f t="shared" si="7"/>
        <v>4.1516699202000006E-3</v>
      </c>
      <c r="H87" s="30">
        <f t="shared" si="8"/>
        <v>2.5947937001250004E-2</v>
      </c>
      <c r="I87" s="30">
        <f t="shared" si="9"/>
        <v>13.514550521484377</v>
      </c>
      <c r="J87" s="30">
        <f t="shared" si="10"/>
        <v>2.7029101042968757E-2</v>
      </c>
      <c r="K87" s="31">
        <f t="shared" si="11"/>
        <v>13.514550521484377</v>
      </c>
    </row>
    <row r="88" spans="1:11" x14ac:dyDescent="0.2">
      <c r="A88" s="20" t="s">
        <v>99</v>
      </c>
      <c r="B88" s="13">
        <v>0.2</v>
      </c>
      <c r="C88" s="12">
        <v>0.2</v>
      </c>
      <c r="D88" s="12">
        <v>0.20399999999999999</v>
      </c>
      <c r="E88" s="12">
        <v>3.54</v>
      </c>
      <c r="F88" s="12">
        <f t="shared" si="6"/>
        <v>1</v>
      </c>
      <c r="G88" s="12">
        <f t="shared" si="7"/>
        <v>4.5290944584000003E-3</v>
      </c>
      <c r="H88" s="12">
        <f t="shared" si="8"/>
        <v>2.8306840365000002E-2</v>
      </c>
      <c r="I88" s="12">
        <f t="shared" si="9"/>
        <v>13.875902139705884</v>
      </c>
      <c r="J88" s="12">
        <f t="shared" si="10"/>
        <v>2.7751804279411769E-2</v>
      </c>
      <c r="K88" s="19">
        <f t="shared" si="11"/>
        <v>13.875902139705884</v>
      </c>
    </row>
    <row r="89" spans="1:11" ht="16" thickBot="1" x14ac:dyDescent="0.25">
      <c r="A89" s="39" t="s">
        <v>100</v>
      </c>
      <c r="B89" s="36">
        <v>0.2</v>
      </c>
      <c r="C89" s="37">
        <v>0.2</v>
      </c>
      <c r="D89" s="37">
        <v>0.20200000000000001</v>
      </c>
      <c r="E89" s="37">
        <v>3.54</v>
      </c>
      <c r="F89" s="37">
        <f t="shared" si="6"/>
        <v>1</v>
      </c>
      <c r="G89" s="37">
        <f t="shared" si="7"/>
        <v>4.5290944584000003E-3</v>
      </c>
      <c r="H89" s="37">
        <f t="shared" si="8"/>
        <v>2.8306840365000002E-2</v>
      </c>
      <c r="I89" s="37">
        <f t="shared" si="9"/>
        <v>14.013287309405943</v>
      </c>
      <c r="J89" s="37">
        <f t="shared" si="10"/>
        <v>2.8026574618811882E-2</v>
      </c>
      <c r="K89" s="38">
        <f t="shared" si="11"/>
        <v>14.013287309405939</v>
      </c>
    </row>
    <row r="90" spans="1:11" x14ac:dyDescent="0.2">
      <c r="A90" s="41" t="s">
        <v>101</v>
      </c>
      <c r="B90" s="15">
        <v>0.2</v>
      </c>
      <c r="C90" s="16">
        <v>0.2</v>
      </c>
      <c r="D90" s="16">
        <v>0.20899999999999999</v>
      </c>
      <c r="E90" s="16">
        <v>4.67</v>
      </c>
      <c r="F90" s="16">
        <f t="shared" si="6"/>
        <v>1</v>
      </c>
      <c r="G90" s="16">
        <f t="shared" si="7"/>
        <v>6.1086860441999999E-3</v>
      </c>
      <c r="H90" s="16">
        <f t="shared" si="8"/>
        <v>3.8179287776250001E-2</v>
      </c>
      <c r="I90" s="16">
        <f t="shared" si="9"/>
        <v>18.267601806818181</v>
      </c>
      <c r="J90" s="16">
        <f t="shared" si="10"/>
        <v>3.6535203613636366E-2</v>
      </c>
      <c r="K90" s="17">
        <f t="shared" si="11"/>
        <v>18.267601806818181</v>
      </c>
    </row>
    <row r="91" spans="1:11" x14ac:dyDescent="0.2">
      <c r="A91" s="20" t="s">
        <v>102</v>
      </c>
      <c r="B91" s="13">
        <v>0.2</v>
      </c>
      <c r="C91" s="12">
        <v>0.2</v>
      </c>
      <c r="D91" s="12">
        <v>0.20200000000000001</v>
      </c>
      <c r="E91" s="12">
        <v>4.3099999999999996</v>
      </c>
      <c r="F91" s="12">
        <f t="shared" si="6"/>
        <v>1</v>
      </c>
      <c r="G91" s="12">
        <f t="shared" si="7"/>
        <v>5.6054533266000003E-3</v>
      </c>
      <c r="H91" s="12">
        <f t="shared" si="8"/>
        <v>3.5034083291250004E-2</v>
      </c>
      <c r="I91" s="12">
        <f t="shared" si="9"/>
        <v>17.343605589727723</v>
      </c>
      <c r="J91" s="12">
        <f t="shared" si="10"/>
        <v>3.4687211179455446E-2</v>
      </c>
      <c r="K91" s="19">
        <f t="shared" si="11"/>
        <v>17.343605589727723</v>
      </c>
    </row>
    <row r="92" spans="1:11" ht="16" thickBot="1" x14ac:dyDescent="0.25">
      <c r="A92" s="22" t="s">
        <v>103</v>
      </c>
      <c r="B92" s="33">
        <v>0.2</v>
      </c>
      <c r="C92" s="23">
        <v>0.2</v>
      </c>
      <c r="D92" s="23">
        <v>0.20200000000000001</v>
      </c>
      <c r="E92" s="23">
        <v>4.25</v>
      </c>
      <c r="F92" s="23">
        <f t="shared" si="6"/>
        <v>1</v>
      </c>
      <c r="G92" s="23">
        <f t="shared" si="7"/>
        <v>5.5215812070000007E-3</v>
      </c>
      <c r="H92" s="23">
        <f t="shared" si="8"/>
        <v>3.4509882543750002E-2</v>
      </c>
      <c r="I92" s="23">
        <f t="shared" si="9"/>
        <v>17.084100269183171</v>
      </c>
      <c r="J92" s="23">
        <f t="shared" si="10"/>
        <v>3.416820053836634E-2</v>
      </c>
      <c r="K92" s="34">
        <f t="shared" si="11"/>
        <v>17.084100269183171</v>
      </c>
    </row>
    <row r="93" spans="1:11" x14ac:dyDescent="0.2">
      <c r="A93" s="40" t="s">
        <v>104</v>
      </c>
      <c r="B93" s="29">
        <v>0.2</v>
      </c>
      <c r="C93" s="30">
        <v>0.2</v>
      </c>
      <c r="D93" s="30">
        <v>0.20499999999999999</v>
      </c>
      <c r="E93" s="30">
        <v>3.57</v>
      </c>
      <c r="F93" s="30">
        <f t="shared" si="6"/>
        <v>1</v>
      </c>
      <c r="G93" s="30">
        <f t="shared" si="7"/>
        <v>4.5710305181999996E-3</v>
      </c>
      <c r="H93" s="30">
        <f t="shared" si="8"/>
        <v>2.8568940738749996E-2</v>
      </c>
      <c r="I93" s="30">
        <f t="shared" si="9"/>
        <v>13.93606865304878</v>
      </c>
      <c r="J93" s="30">
        <f t="shared" si="10"/>
        <v>2.7872137306097559E-2</v>
      </c>
      <c r="K93" s="31">
        <f t="shared" si="11"/>
        <v>13.936068653048778</v>
      </c>
    </row>
    <row r="94" spans="1:11" x14ac:dyDescent="0.2">
      <c r="A94" s="20" t="s">
        <v>105</v>
      </c>
      <c r="B94" s="13">
        <v>0.2</v>
      </c>
      <c r="C94" s="12">
        <v>0.2</v>
      </c>
      <c r="D94" s="12">
        <v>0.20100000000000001</v>
      </c>
      <c r="E94" s="12">
        <v>3.47</v>
      </c>
      <c r="F94" s="12">
        <f t="shared" si="6"/>
        <v>1</v>
      </c>
      <c r="G94" s="12">
        <f t="shared" si="7"/>
        <v>4.4312436522000011E-3</v>
      </c>
      <c r="H94" s="12">
        <f t="shared" si="8"/>
        <v>2.7695272826250006E-2</v>
      </c>
      <c r="I94" s="12">
        <f t="shared" si="9"/>
        <v>13.778742699626868</v>
      </c>
      <c r="J94" s="12">
        <f t="shared" si="10"/>
        <v>2.7557485399253737E-2</v>
      </c>
      <c r="K94" s="19">
        <f t="shared" si="11"/>
        <v>13.778742699626868</v>
      </c>
    </row>
    <row r="95" spans="1:11" ht="16" thickBot="1" x14ac:dyDescent="0.25">
      <c r="A95" s="39" t="s">
        <v>106</v>
      </c>
      <c r="B95" s="36">
        <v>0.2</v>
      </c>
      <c r="C95" s="37">
        <v>0.2</v>
      </c>
      <c r="D95" s="37">
        <v>0.20799999999999999</v>
      </c>
      <c r="E95" s="37">
        <v>3.51</v>
      </c>
      <c r="F95" s="37">
        <f t="shared" si="6"/>
        <v>1</v>
      </c>
      <c r="G95" s="37">
        <f t="shared" si="7"/>
        <v>4.4871583986E-3</v>
      </c>
      <c r="H95" s="37">
        <f t="shared" si="8"/>
        <v>2.8044739991250001E-2</v>
      </c>
      <c r="I95" s="37">
        <f t="shared" si="9"/>
        <v>13.483048072716347</v>
      </c>
      <c r="J95" s="37">
        <f t="shared" si="10"/>
        <v>2.6966096145432699E-2</v>
      </c>
      <c r="K95" s="38">
        <f t="shared" si="11"/>
        <v>13.48304807271635</v>
      </c>
    </row>
    <row r="96" spans="1:11" x14ac:dyDescent="0.2">
      <c r="A96" s="41" t="s">
        <v>107</v>
      </c>
      <c r="B96" s="15">
        <v>0.2</v>
      </c>
      <c r="C96" s="16">
        <v>0.2</v>
      </c>
      <c r="D96" s="16">
        <v>0.19600000000000001</v>
      </c>
      <c r="E96" s="16">
        <v>2.99</v>
      </c>
      <c r="F96" s="16">
        <f t="shared" si="6"/>
        <v>1</v>
      </c>
      <c r="G96" s="16">
        <f t="shared" si="7"/>
        <v>3.7602666954000006E-3</v>
      </c>
      <c r="H96" s="16">
        <f t="shared" si="8"/>
        <v>2.3501666846250005E-2</v>
      </c>
      <c r="I96" s="16">
        <f t="shared" si="9"/>
        <v>11.990646350127552</v>
      </c>
      <c r="J96" s="16">
        <f t="shared" si="10"/>
        <v>2.3981292700255109E-2</v>
      </c>
      <c r="K96" s="17">
        <f t="shared" si="11"/>
        <v>11.990646350127554</v>
      </c>
    </row>
    <row r="97" spans="1:11" x14ac:dyDescent="0.2">
      <c r="A97" s="20" t="s">
        <v>108</v>
      </c>
      <c r="B97" s="13">
        <v>0.2</v>
      </c>
      <c r="C97" s="12">
        <v>0.2</v>
      </c>
      <c r="D97" s="12">
        <v>0.19900000000000001</v>
      </c>
      <c r="E97" s="12">
        <v>3.13</v>
      </c>
      <c r="F97" s="12">
        <f t="shared" si="6"/>
        <v>1</v>
      </c>
      <c r="G97" s="12">
        <f t="shared" si="7"/>
        <v>3.9559683078000006E-3</v>
      </c>
      <c r="H97" s="12">
        <f t="shared" si="8"/>
        <v>2.4724801923750005E-2</v>
      </c>
      <c r="I97" s="12">
        <f t="shared" si="9"/>
        <v>12.42452357977387</v>
      </c>
      <c r="J97" s="12">
        <f t="shared" si="10"/>
        <v>2.4849047159547742E-2</v>
      </c>
      <c r="K97" s="19">
        <f t="shared" si="11"/>
        <v>12.42452357977387</v>
      </c>
    </row>
    <row r="98" spans="1:11" ht="16" thickBot="1" x14ac:dyDescent="0.25">
      <c r="A98" s="22" t="s">
        <v>109</v>
      </c>
      <c r="B98" s="33">
        <v>0.2</v>
      </c>
      <c r="C98" s="23">
        <v>0.2</v>
      </c>
      <c r="D98" s="23">
        <v>0.20499999999999999</v>
      </c>
      <c r="E98" s="23">
        <v>3.21</v>
      </c>
      <c r="F98" s="23">
        <f t="shared" si="6"/>
        <v>1</v>
      </c>
      <c r="G98" s="23">
        <f t="shared" si="7"/>
        <v>4.0677978006000001E-3</v>
      </c>
      <c r="H98" s="23">
        <f t="shared" si="8"/>
        <v>2.5423736253749999E-2</v>
      </c>
      <c r="I98" s="23">
        <f t="shared" si="9"/>
        <v>12.401822562804879</v>
      </c>
      <c r="J98" s="23">
        <f t="shared" si="10"/>
        <v>2.4803645125609758E-2</v>
      </c>
      <c r="K98" s="34">
        <f t="shared" si="11"/>
        <v>12.401822562804879</v>
      </c>
    </row>
  </sheetData>
  <mergeCells count="2">
    <mergeCell ref="A6:C6"/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</dc:creator>
  <cp:lastModifiedBy>Microsoft Office User</cp:lastModifiedBy>
  <dcterms:created xsi:type="dcterms:W3CDTF">2020-02-12T11:19:28Z</dcterms:created>
  <dcterms:modified xsi:type="dcterms:W3CDTF">2020-05-06T04:47:38Z</dcterms:modified>
</cp:coreProperties>
</file>